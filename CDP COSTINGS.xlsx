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feDeParis\Desktop\"/>
    </mc:Choice>
  </mc:AlternateContent>
  <xr:revisionPtr revIDLastSave="0" documentId="13_ncr:1_{C29A1D92-A0F5-49C1-AF87-63F89E723F89}" xr6:coauthVersionLast="47" xr6:coauthVersionMax="47" xr10:uidLastSave="{00000000-0000-0000-0000-000000000000}"/>
  <bookViews>
    <workbookView xWindow="-108" yWindow="-108" windowWidth="23256" windowHeight="12456" activeTab="4" xr2:uid="{EC1A8001-6066-4E9A-9073-DECC75254708}"/>
  </bookViews>
  <sheets>
    <sheet name="BAKERY " sheetId="1" r:id="rId1"/>
    <sheet name="INDEX" sheetId="3" r:id="rId2"/>
    <sheet name="KITCHEN " sheetId="2" r:id="rId3"/>
    <sheet name="SPECIAL " sheetId="10" r:id="rId4"/>
    <sheet name="HP" sheetId="7" r:id="rId5"/>
    <sheet name="Sheet1" sheetId="8" r:id="rId6"/>
    <sheet name="Sheet2" sheetId="6" r:id="rId7"/>
    <sheet name="BARISTA " sheetId="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12" i="10" l="1"/>
  <c r="AP11" i="10"/>
  <c r="AP10" i="10"/>
  <c r="AP9" i="10"/>
  <c r="AP8" i="10"/>
  <c r="AP7" i="10"/>
  <c r="AP6" i="10"/>
  <c r="AP14" i="10" l="1"/>
  <c r="AP4" i="10"/>
  <c r="AV55" i="1"/>
  <c r="AV56" i="1"/>
  <c r="AV57" i="1"/>
  <c r="AV67" i="1"/>
  <c r="AV66" i="1"/>
  <c r="AV65" i="1"/>
  <c r="AV64" i="1"/>
  <c r="AV63" i="1"/>
  <c r="AV62" i="1"/>
  <c r="AV61" i="1"/>
  <c r="AV60" i="1"/>
  <c r="AV59" i="1"/>
  <c r="AV58" i="1"/>
  <c r="AV54" i="1"/>
  <c r="AV53" i="1"/>
  <c r="AJ14" i="10"/>
  <c r="AJ13" i="10"/>
  <c r="AJ12" i="10"/>
  <c r="AJ11" i="10"/>
  <c r="AJ10" i="10"/>
  <c r="AJ9" i="10"/>
  <c r="AJ8" i="10"/>
  <c r="AJ7" i="10"/>
  <c r="AJ6" i="10"/>
  <c r="AJ5" i="10"/>
  <c r="AJ4" i="10"/>
  <c r="R6" i="10"/>
  <c r="X18" i="10"/>
  <c r="AD8" i="10"/>
  <c r="AD14" i="10"/>
  <c r="AD13" i="10"/>
  <c r="AD12" i="10"/>
  <c r="AD11" i="10"/>
  <c r="AD10" i="10"/>
  <c r="AD9" i="10"/>
  <c r="AD7" i="10"/>
  <c r="AD6" i="10"/>
  <c r="AD5" i="10"/>
  <c r="AD17" i="10" s="1"/>
  <c r="AD18" i="10" s="1"/>
  <c r="AD20" i="10" s="1"/>
  <c r="AD21" i="10" s="1"/>
  <c r="AD4" i="10"/>
  <c r="X6" i="10"/>
  <c r="X7" i="10"/>
  <c r="X8" i="10"/>
  <c r="X5" i="10"/>
  <c r="X17" i="10" s="1"/>
  <c r="X20" i="10" s="1"/>
  <c r="X21" i="10" s="1"/>
  <c r="AP17" i="10" l="1"/>
  <c r="AP18" i="10" s="1"/>
  <c r="AP20" i="10" s="1"/>
  <c r="AP21" i="10" s="1"/>
  <c r="AV69" i="1"/>
  <c r="AV70" i="1" s="1"/>
  <c r="AV72" i="1" s="1"/>
  <c r="AV73" i="1" s="1"/>
  <c r="AJ17" i="10"/>
  <c r="AJ18" i="10" s="1"/>
  <c r="AJ20" i="10" s="1"/>
  <c r="AJ21" i="10" s="1"/>
  <c r="AW69" i="1" l="1"/>
  <c r="AW70" i="1" s="1"/>
  <c r="AW72" i="1" s="1"/>
  <c r="AW73" i="1" s="1"/>
  <c r="R11" i="10"/>
  <c r="R10" i="10"/>
  <c r="R9" i="10"/>
  <c r="R8" i="10"/>
  <c r="R7" i="10"/>
  <c r="R5" i="10"/>
  <c r="R4" i="10"/>
  <c r="L18" i="10"/>
  <c r="L17" i="10"/>
  <c r="L16" i="10"/>
  <c r="L15" i="10"/>
  <c r="L14" i="10"/>
  <c r="L13" i="10"/>
  <c r="L12" i="10"/>
  <c r="L11" i="10"/>
  <c r="L10" i="10"/>
  <c r="L9" i="10"/>
  <c r="L8" i="10"/>
  <c r="L7" i="10"/>
  <c r="L6" i="10"/>
  <c r="L5" i="10"/>
  <c r="L4" i="10"/>
  <c r="L20" i="10" s="1"/>
  <c r="L21" i="10" s="1"/>
  <c r="L23" i="10" s="1"/>
  <c r="L24" i="10" s="1"/>
  <c r="F14" i="10"/>
  <c r="F15" i="10"/>
  <c r="F16" i="10"/>
  <c r="F5" i="10"/>
  <c r="F6" i="10"/>
  <c r="F7" i="10"/>
  <c r="F8" i="10"/>
  <c r="F9" i="10"/>
  <c r="F10" i="10"/>
  <c r="F11" i="10"/>
  <c r="F12" i="10"/>
  <c r="F13" i="10"/>
  <c r="F18" i="10"/>
  <c r="F17" i="10"/>
  <c r="F4" i="10"/>
  <c r="AO93" i="1"/>
  <c r="AO83" i="1"/>
  <c r="AO84" i="1"/>
  <c r="AO85" i="1"/>
  <c r="AO86" i="1"/>
  <c r="AO82" i="1"/>
  <c r="AO81" i="1"/>
  <c r="AO80" i="1"/>
  <c r="AO79" i="1"/>
  <c r="R20" i="10" l="1"/>
  <c r="R21" i="10" s="1"/>
  <c r="R23" i="10" s="1"/>
  <c r="R24" i="10" s="1"/>
  <c r="F20" i="10"/>
  <c r="F21" i="10" s="1"/>
  <c r="F23" i="10" s="1"/>
  <c r="F24" i="10" s="1"/>
  <c r="AO90" i="1"/>
  <c r="AO91" i="1" s="1"/>
  <c r="AO94" i="1" s="1"/>
  <c r="AW101" i="2" l="1"/>
  <c r="AW100" i="2"/>
  <c r="AW116" i="2" s="1"/>
  <c r="AW117" i="2" s="1"/>
  <c r="AW119" i="2" s="1"/>
  <c r="AW120" i="2" s="1"/>
  <c r="AW105" i="2"/>
  <c r="AW106" i="2"/>
  <c r="AW107" i="2"/>
  <c r="AW111" i="2"/>
  <c r="AW113" i="2"/>
  <c r="AW114" i="2"/>
  <c r="X91" i="2" l="1"/>
  <c r="X90" i="2"/>
  <c r="X89" i="2"/>
  <c r="X88" i="2"/>
  <c r="X87" i="2"/>
  <c r="X86" i="2"/>
  <c r="X85" i="2"/>
  <c r="X84" i="2"/>
  <c r="X83" i="2"/>
  <c r="X82" i="2"/>
  <c r="X81" i="2"/>
  <c r="X80" i="2"/>
  <c r="X79" i="2"/>
  <c r="X78" i="2"/>
  <c r="X77" i="2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BN50" i="1"/>
  <c r="BN51" i="1"/>
  <c r="BN52" i="1"/>
  <c r="BN53" i="1"/>
  <c r="BN49" i="1"/>
  <c r="X93" i="2" l="1"/>
  <c r="X94" i="2" s="1"/>
  <c r="X96" i="2" s="1"/>
  <c r="X97" i="2" s="1"/>
  <c r="E95" i="1"/>
  <c r="E96" i="1" s="1"/>
  <c r="E98" i="1" s="1"/>
  <c r="E99" i="1" s="1"/>
  <c r="BN60" i="1"/>
  <c r="BN61" i="1" s="1"/>
  <c r="BN63" i="1" s="1"/>
  <c r="BN64" i="1" s="1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93" i="2" s="1"/>
  <c r="R94" i="2" s="1"/>
  <c r="R96" i="2" s="1"/>
  <c r="R97" i="2" s="1"/>
  <c r="BB59" i="1"/>
  <c r="BB67" i="1"/>
  <c r="BB66" i="1"/>
  <c r="BB65" i="1"/>
  <c r="BB64" i="1"/>
  <c r="BB58" i="1"/>
  <c r="BB57" i="1"/>
  <c r="BB56" i="1"/>
  <c r="BB55" i="1"/>
  <c r="BB53" i="1"/>
  <c r="L78" i="2"/>
  <c r="L79" i="2"/>
  <c r="L80" i="2"/>
  <c r="L81" i="2"/>
  <c r="L82" i="2"/>
  <c r="L83" i="2"/>
  <c r="L84" i="2"/>
  <c r="L85" i="2"/>
  <c r="BB69" i="1" l="1"/>
  <c r="BB70" i="1" s="1"/>
  <c r="BB72" i="1" s="1"/>
  <c r="BB73" i="1" s="1"/>
  <c r="L77" i="2"/>
  <c r="BO92" i="2"/>
  <c r="BO91" i="2"/>
  <c r="BO90" i="2"/>
  <c r="BO89" i="2"/>
  <c r="BO88" i="2"/>
  <c r="BO87" i="2"/>
  <c r="BO86" i="2"/>
  <c r="BO78" i="2"/>
  <c r="BO94" i="2" s="1"/>
  <c r="BO95" i="2" s="1"/>
  <c r="BO97" i="2" s="1"/>
  <c r="BO98" i="2" s="1"/>
  <c r="BI92" i="2"/>
  <c r="BI91" i="2"/>
  <c r="BI90" i="2"/>
  <c r="BI89" i="2"/>
  <c r="BI88" i="2"/>
  <c r="BI87" i="2"/>
  <c r="BI86" i="2"/>
  <c r="BI78" i="2"/>
  <c r="BI94" i="2" s="1"/>
  <c r="BI95" i="2" s="1"/>
  <c r="BI97" i="2" s="1"/>
  <c r="BI98" i="2" s="1"/>
  <c r="AC118" i="1"/>
  <c r="AC117" i="1"/>
  <c r="AC116" i="1"/>
  <c r="AC115" i="1"/>
  <c r="AC114" i="1"/>
  <c r="AC113" i="1"/>
  <c r="AC112" i="1"/>
  <c r="AC111" i="1"/>
  <c r="AC110" i="1"/>
  <c r="AC109" i="1"/>
  <c r="AC106" i="1"/>
  <c r="AC105" i="1"/>
  <c r="AC104" i="1"/>
  <c r="W106" i="1"/>
  <c r="W105" i="1"/>
  <c r="W104" i="1"/>
  <c r="W118" i="1"/>
  <c r="W117" i="1"/>
  <c r="W116" i="1"/>
  <c r="W115" i="1"/>
  <c r="W114" i="1"/>
  <c r="W113" i="1"/>
  <c r="W112" i="1"/>
  <c r="W111" i="1"/>
  <c r="W110" i="1"/>
  <c r="W109" i="1"/>
  <c r="Q118" i="1"/>
  <c r="Q117" i="1"/>
  <c r="Q116" i="1"/>
  <c r="Q115" i="1"/>
  <c r="Q114" i="1"/>
  <c r="Q113" i="1"/>
  <c r="Q112" i="1"/>
  <c r="Q111" i="1"/>
  <c r="Q110" i="1"/>
  <c r="Q109" i="1"/>
  <c r="Q105" i="1"/>
  <c r="Q104" i="1"/>
  <c r="K104" i="1"/>
  <c r="K118" i="1"/>
  <c r="K117" i="1"/>
  <c r="K116" i="1"/>
  <c r="K115" i="1"/>
  <c r="K114" i="1"/>
  <c r="K113" i="1"/>
  <c r="K112" i="1"/>
  <c r="K111" i="1"/>
  <c r="K110" i="1"/>
  <c r="K109" i="1"/>
  <c r="K105" i="1"/>
  <c r="K93" i="1"/>
  <c r="K92" i="1"/>
  <c r="K91" i="1"/>
  <c r="K90" i="1"/>
  <c r="K89" i="1"/>
  <c r="K88" i="1"/>
  <c r="K87" i="1"/>
  <c r="K86" i="1"/>
  <c r="K85" i="1"/>
  <c r="K84" i="1"/>
  <c r="K82" i="1"/>
  <c r="K81" i="1"/>
  <c r="K80" i="1"/>
  <c r="K79" i="1"/>
  <c r="Q93" i="1"/>
  <c r="Q92" i="1"/>
  <c r="Q91" i="1"/>
  <c r="Q90" i="1"/>
  <c r="Q89" i="1"/>
  <c r="Q88" i="1"/>
  <c r="Q87" i="1"/>
  <c r="Q85" i="1"/>
  <c r="Q84" i="1"/>
  <c r="Q83" i="1"/>
  <c r="Q82" i="1"/>
  <c r="Q81" i="1"/>
  <c r="Q80" i="1"/>
  <c r="Q79" i="1"/>
  <c r="F54" i="2"/>
  <c r="F55" i="2"/>
  <c r="F53" i="2"/>
  <c r="CG70" i="2"/>
  <c r="CG69" i="2"/>
  <c r="CG68" i="2"/>
  <c r="CG67" i="2"/>
  <c r="CG66" i="2"/>
  <c r="CG65" i="2"/>
  <c r="CG64" i="2"/>
  <c r="CG61" i="2"/>
  <c r="CM68" i="2"/>
  <c r="CM67" i="2"/>
  <c r="CM66" i="2"/>
  <c r="CM65" i="2"/>
  <c r="CM64" i="2"/>
  <c r="CM63" i="2"/>
  <c r="CM62" i="2"/>
  <c r="CM61" i="2"/>
  <c r="CM60" i="2"/>
  <c r="CM59" i="2"/>
  <c r="CM58" i="2"/>
  <c r="CM57" i="2"/>
  <c r="CM56" i="2"/>
  <c r="CM55" i="2"/>
  <c r="CM54" i="2"/>
  <c r="CG78" i="2"/>
  <c r="CG60" i="2"/>
  <c r="CG59" i="2"/>
  <c r="CG58" i="2"/>
  <c r="CG57" i="2"/>
  <c r="CG56" i="2"/>
  <c r="CG55" i="2"/>
  <c r="CG54" i="2"/>
  <c r="CA68" i="2"/>
  <c r="CA67" i="2"/>
  <c r="CA66" i="2"/>
  <c r="CA65" i="2"/>
  <c r="CA64" i="2"/>
  <c r="CA63" i="2"/>
  <c r="CA62" i="2"/>
  <c r="CA61" i="2"/>
  <c r="CG77" i="2"/>
  <c r="CG63" i="2"/>
  <c r="CG62" i="2"/>
  <c r="BU68" i="2"/>
  <c r="BU67" i="2"/>
  <c r="BU66" i="2"/>
  <c r="BU65" i="2"/>
  <c r="BU64" i="2"/>
  <c r="BU63" i="2"/>
  <c r="BU62" i="2"/>
  <c r="BU61" i="2"/>
  <c r="BU60" i="2"/>
  <c r="BU59" i="2"/>
  <c r="BU58" i="2"/>
  <c r="BU57" i="2"/>
  <c r="BU56" i="2"/>
  <c r="BU55" i="2"/>
  <c r="BU54" i="2"/>
  <c r="BN13" i="1"/>
  <c r="DE18" i="1"/>
  <c r="DE17" i="1"/>
  <c r="DE16" i="1"/>
  <c r="DE15" i="1"/>
  <c r="DE14" i="1"/>
  <c r="DE13" i="1"/>
  <c r="DE12" i="1"/>
  <c r="DE11" i="1"/>
  <c r="DE10" i="1"/>
  <c r="DE9" i="1"/>
  <c r="DE8" i="1"/>
  <c r="DE7" i="1"/>
  <c r="DE6" i="1"/>
  <c r="DE5" i="1"/>
  <c r="DE4" i="1"/>
  <c r="CY18" i="1"/>
  <c r="CY17" i="1"/>
  <c r="CY16" i="1"/>
  <c r="CY15" i="1"/>
  <c r="CY14" i="1"/>
  <c r="CY13" i="1"/>
  <c r="CY12" i="1"/>
  <c r="CY11" i="1"/>
  <c r="CY10" i="1"/>
  <c r="CY9" i="1"/>
  <c r="CY8" i="1"/>
  <c r="CY7" i="1"/>
  <c r="CY6" i="1"/>
  <c r="CY5" i="1"/>
  <c r="CY4" i="1"/>
  <c r="CS18" i="1"/>
  <c r="CS17" i="1"/>
  <c r="CS16" i="1"/>
  <c r="CS15" i="1"/>
  <c r="CS14" i="1"/>
  <c r="CS13" i="1"/>
  <c r="CS12" i="1"/>
  <c r="CS11" i="1"/>
  <c r="CS10" i="1"/>
  <c r="CS9" i="1"/>
  <c r="CS8" i="1"/>
  <c r="CS7" i="1"/>
  <c r="CS6" i="1"/>
  <c r="CS5" i="1"/>
  <c r="CS4" i="1"/>
  <c r="CF30" i="2"/>
  <c r="CF31" i="2"/>
  <c r="CF32" i="2"/>
  <c r="CF33" i="2"/>
  <c r="CF34" i="2"/>
  <c r="CF35" i="2"/>
  <c r="CF36" i="2"/>
  <c r="CF37" i="2"/>
  <c r="CF38" i="2"/>
  <c r="CF39" i="2"/>
  <c r="CF29" i="2"/>
  <c r="CF43" i="2"/>
  <c r="CF42" i="2"/>
  <c r="CF41" i="2"/>
  <c r="CF40" i="2"/>
  <c r="L41" i="4"/>
  <c r="L26" i="4"/>
  <c r="L38" i="4"/>
  <c r="L37" i="4"/>
  <c r="L36" i="4"/>
  <c r="L35" i="4"/>
  <c r="L34" i="4"/>
  <c r="L33" i="4"/>
  <c r="L25" i="4"/>
  <c r="L24" i="4"/>
  <c r="AH62" i="1"/>
  <c r="AH93" i="1"/>
  <c r="AH92" i="1"/>
  <c r="AH91" i="1"/>
  <c r="AH90" i="1"/>
  <c r="AH87" i="1"/>
  <c r="AH86" i="1"/>
  <c r="AH85" i="1"/>
  <c r="AH84" i="1"/>
  <c r="AH83" i="1"/>
  <c r="AH82" i="1"/>
  <c r="AH81" i="1"/>
  <c r="AH80" i="1"/>
  <c r="AH79" i="1"/>
  <c r="AC82" i="7"/>
  <c r="AC92" i="7"/>
  <c r="AC91" i="7"/>
  <c r="AC90" i="7"/>
  <c r="AC89" i="7"/>
  <c r="AC88" i="7"/>
  <c r="AC87" i="7"/>
  <c r="AC86" i="7"/>
  <c r="AC81" i="7"/>
  <c r="AC80" i="7"/>
  <c r="AC79" i="7"/>
  <c r="AC78" i="7"/>
  <c r="W81" i="7"/>
  <c r="W92" i="7"/>
  <c r="W91" i="7"/>
  <c r="W90" i="7"/>
  <c r="W89" i="7"/>
  <c r="W88" i="7"/>
  <c r="W87" i="7"/>
  <c r="W86" i="7"/>
  <c r="W80" i="7"/>
  <c r="W79" i="7"/>
  <c r="W78" i="7"/>
  <c r="Q78" i="7"/>
  <c r="Q79" i="7"/>
  <c r="Q80" i="7"/>
  <c r="Q92" i="7"/>
  <c r="Q91" i="7"/>
  <c r="Q90" i="7"/>
  <c r="Q89" i="7"/>
  <c r="Q88" i="7"/>
  <c r="Q87" i="7"/>
  <c r="Q86" i="7"/>
  <c r="Q94" i="7"/>
  <c r="Q95" i="7" s="1"/>
  <c r="Q97" i="7" s="1"/>
  <c r="Q98" i="7" s="1"/>
  <c r="K92" i="7"/>
  <c r="K91" i="7"/>
  <c r="K90" i="7"/>
  <c r="K89" i="7"/>
  <c r="K88" i="7"/>
  <c r="K87" i="7"/>
  <c r="K86" i="7"/>
  <c r="K82" i="7"/>
  <c r="K80" i="7"/>
  <c r="K79" i="7"/>
  <c r="K78" i="7"/>
  <c r="K94" i="7" s="1"/>
  <c r="K95" i="7" s="1"/>
  <c r="K97" i="7" s="1"/>
  <c r="K98" i="7" s="1"/>
  <c r="E92" i="7"/>
  <c r="E91" i="7"/>
  <c r="E90" i="7"/>
  <c r="E89" i="7"/>
  <c r="E88" i="7"/>
  <c r="E87" i="7"/>
  <c r="E86" i="7"/>
  <c r="E84" i="7"/>
  <c r="E82" i="7"/>
  <c r="E80" i="7"/>
  <c r="E79" i="7"/>
  <c r="E78" i="7"/>
  <c r="E68" i="7"/>
  <c r="E67" i="7"/>
  <c r="E66" i="7"/>
  <c r="E65" i="7"/>
  <c r="E64" i="7"/>
  <c r="E63" i="7"/>
  <c r="E62" i="7"/>
  <c r="E61" i="7"/>
  <c r="E60" i="7"/>
  <c r="E59" i="7"/>
  <c r="E58" i="7"/>
  <c r="E56" i="7"/>
  <c r="E55" i="7"/>
  <c r="E54" i="7"/>
  <c r="E7" i="1"/>
  <c r="G7" i="1" s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BO68" i="2"/>
  <c r="BO67" i="2"/>
  <c r="BO66" i="2"/>
  <c r="BO65" i="2"/>
  <c r="BO64" i="2"/>
  <c r="BO63" i="2"/>
  <c r="BO62" i="2"/>
  <c r="BO61" i="2"/>
  <c r="BO60" i="2"/>
  <c r="BO59" i="2"/>
  <c r="BO58" i="2"/>
  <c r="BO57" i="2"/>
  <c r="BO56" i="2"/>
  <c r="BO55" i="2"/>
  <c r="BO54" i="2"/>
  <c r="BB7" i="2"/>
  <c r="CF10" i="2"/>
  <c r="CF11" i="2"/>
  <c r="CF12" i="2"/>
  <c r="CF18" i="2"/>
  <c r="CF17" i="2"/>
  <c r="CF16" i="2"/>
  <c r="CF15" i="2"/>
  <c r="CF8" i="2"/>
  <c r="CF7" i="2"/>
  <c r="AW88" i="2"/>
  <c r="AW86" i="2"/>
  <c r="BC83" i="2"/>
  <c r="BC92" i="2"/>
  <c r="BC91" i="2"/>
  <c r="BC90" i="2"/>
  <c r="BC89" i="2"/>
  <c r="BC88" i="2"/>
  <c r="BC87" i="2"/>
  <c r="BC86" i="2"/>
  <c r="BC85" i="2"/>
  <c r="BC84" i="2"/>
  <c r="BC82" i="2"/>
  <c r="BC81" i="2"/>
  <c r="BC80" i="2"/>
  <c r="BC79" i="2"/>
  <c r="BC78" i="2"/>
  <c r="E89" i="2"/>
  <c r="E88" i="2"/>
  <c r="E87" i="2"/>
  <c r="F87" i="2"/>
  <c r="AD87" i="2"/>
  <c r="AW79" i="2"/>
  <c r="AW80" i="2"/>
  <c r="AW81" i="2"/>
  <c r="AW82" i="2"/>
  <c r="AW83" i="2"/>
  <c r="AW84" i="2"/>
  <c r="AW85" i="2"/>
  <c r="AW78" i="2"/>
  <c r="G19" i="1"/>
  <c r="G18" i="1"/>
  <c r="G17" i="1"/>
  <c r="G16" i="1"/>
  <c r="G15" i="1"/>
  <c r="G14" i="1"/>
  <c r="G13" i="1"/>
  <c r="G12" i="1"/>
  <c r="G11" i="1"/>
  <c r="G10" i="1"/>
  <c r="G9" i="1"/>
  <c r="G8" i="1"/>
  <c r="G6" i="1"/>
  <c r="G5" i="1"/>
  <c r="H28" i="8"/>
  <c r="H38" i="8"/>
  <c r="H37" i="8"/>
  <c r="H36" i="8"/>
  <c r="H35" i="8"/>
  <c r="H34" i="8"/>
  <c r="H33" i="8"/>
  <c r="H26" i="8"/>
  <c r="H25" i="8"/>
  <c r="H24" i="8"/>
  <c r="F11" i="8"/>
  <c r="F10" i="8"/>
  <c r="F9" i="8"/>
  <c r="F8" i="8"/>
  <c r="F7" i="8"/>
  <c r="F6" i="8"/>
  <c r="F5" i="8"/>
  <c r="F4" i="8"/>
  <c r="F14" i="8" s="1"/>
  <c r="F15" i="8" s="1"/>
  <c r="F17" i="8" s="1"/>
  <c r="F18" i="8" s="1"/>
  <c r="AD66" i="7"/>
  <c r="AD56" i="7"/>
  <c r="AD55" i="7"/>
  <c r="AD54" i="7"/>
  <c r="AP67" i="1"/>
  <c r="AP66" i="1"/>
  <c r="AP65" i="1"/>
  <c r="AP64" i="1"/>
  <c r="AP62" i="1"/>
  <c r="AP61" i="1"/>
  <c r="AP60" i="1"/>
  <c r="AP59" i="1"/>
  <c r="AP58" i="1"/>
  <c r="AP57" i="1"/>
  <c r="AP56" i="1"/>
  <c r="AP55" i="1"/>
  <c r="AP54" i="1"/>
  <c r="AP53" i="1"/>
  <c r="X62" i="7"/>
  <c r="X61" i="7"/>
  <c r="X60" i="7"/>
  <c r="X59" i="7"/>
  <c r="X58" i="7"/>
  <c r="X57" i="7"/>
  <c r="X56" i="7"/>
  <c r="X55" i="7"/>
  <c r="X54" i="7"/>
  <c r="R58" i="7"/>
  <c r="R60" i="7"/>
  <c r="R61" i="7"/>
  <c r="R62" i="7"/>
  <c r="R68" i="7"/>
  <c r="R67" i="7"/>
  <c r="R66" i="7"/>
  <c r="R65" i="7"/>
  <c r="R57" i="7"/>
  <c r="R70" i="7" s="1"/>
  <c r="R71" i="7" s="1"/>
  <c r="R73" i="7" s="1"/>
  <c r="R74" i="7" s="1"/>
  <c r="AD31" i="7"/>
  <c r="AD32" i="7"/>
  <c r="AD36" i="7"/>
  <c r="AD35" i="7"/>
  <c r="AD34" i="7"/>
  <c r="AD33" i="7"/>
  <c r="AD37" i="7"/>
  <c r="AD30" i="7"/>
  <c r="AD29" i="7"/>
  <c r="R39" i="7"/>
  <c r="R38" i="7"/>
  <c r="R37" i="7"/>
  <c r="R36" i="7"/>
  <c r="R35" i="7"/>
  <c r="R34" i="7"/>
  <c r="R33" i="7"/>
  <c r="R32" i="7"/>
  <c r="R31" i="7"/>
  <c r="R43" i="7"/>
  <c r="R42" i="7"/>
  <c r="R41" i="7"/>
  <c r="R30" i="7"/>
  <c r="CY20" i="1" l="1"/>
  <c r="CY21" i="1" s="1"/>
  <c r="CY23" i="1" s="1"/>
  <c r="CY24" i="1" s="1"/>
  <c r="Q95" i="1"/>
  <c r="Q96" i="1" s="1"/>
  <c r="Q98" i="1" s="1"/>
  <c r="Q99" i="1" s="1"/>
  <c r="K95" i="1"/>
  <c r="K96" i="1" s="1"/>
  <c r="K98" i="1" s="1"/>
  <c r="K99" i="1" s="1"/>
  <c r="Q120" i="1"/>
  <c r="Q121" i="1" s="1"/>
  <c r="Q123" i="1" s="1"/>
  <c r="Q124" i="1" s="1"/>
  <c r="L93" i="2"/>
  <c r="L94" i="2" s="1"/>
  <c r="L96" i="2" s="1"/>
  <c r="L97" i="2" s="1"/>
  <c r="AC120" i="1"/>
  <c r="AC121" i="1" s="1"/>
  <c r="AC123" i="1" s="1"/>
  <c r="AC124" i="1" s="1"/>
  <c r="W120" i="1"/>
  <c r="W121" i="1" s="1"/>
  <c r="W123" i="1" s="1"/>
  <c r="W124" i="1" s="1"/>
  <c r="K120" i="1"/>
  <c r="K121" i="1" s="1"/>
  <c r="K123" i="1" s="1"/>
  <c r="K124" i="1" s="1"/>
  <c r="CF45" i="2"/>
  <c r="CF46" i="2" s="1"/>
  <c r="CF48" i="2" s="1"/>
  <c r="CF49" i="2" s="1"/>
  <c r="BU70" i="2"/>
  <c r="BU71" i="2" s="1"/>
  <c r="BU73" i="2" s="1"/>
  <c r="BU74" i="2" s="1"/>
  <c r="CM70" i="2"/>
  <c r="CM71" i="2" s="1"/>
  <c r="CM73" i="2" s="1"/>
  <c r="CM74" i="2" s="1"/>
  <c r="CG80" i="2"/>
  <c r="CG81" i="2" s="1"/>
  <c r="CG83" i="2" s="1"/>
  <c r="CG84" i="2" s="1"/>
  <c r="CA70" i="2"/>
  <c r="CA71" i="2" s="1"/>
  <c r="CA73" i="2" s="1"/>
  <c r="CA74" i="2" s="1"/>
  <c r="DE20" i="1"/>
  <c r="DE21" i="1" s="1"/>
  <c r="DE23" i="1" s="1"/>
  <c r="DE24" i="1" s="1"/>
  <c r="CS20" i="1"/>
  <c r="CS21" i="1" s="1"/>
  <c r="CS23" i="1" s="1"/>
  <c r="CS24" i="1" s="1"/>
  <c r="L40" i="4"/>
  <c r="L43" i="4" s="1"/>
  <c r="L44" i="4" s="1"/>
  <c r="BO70" i="2"/>
  <c r="BO71" i="2" s="1"/>
  <c r="BO73" i="2" s="1"/>
  <c r="BO74" i="2" s="1"/>
  <c r="X95" i="1"/>
  <c r="X96" i="1" s="1"/>
  <c r="X98" i="1" s="1"/>
  <c r="X99" i="1" s="1"/>
  <c r="AD40" i="7"/>
  <c r="AD41" i="7" s="1"/>
  <c r="AD43" i="7" s="1"/>
  <c r="AD44" i="7" s="1"/>
  <c r="CF20" i="2"/>
  <c r="CF21" i="2" s="1"/>
  <c r="CF23" i="2" s="1"/>
  <c r="CF24" i="2" s="1"/>
  <c r="AP69" i="1"/>
  <c r="AP70" i="1" s="1"/>
  <c r="AP72" i="1" s="1"/>
  <c r="AP73" i="1" s="1"/>
  <c r="AD70" i="7"/>
  <c r="AD71" i="7" s="1"/>
  <c r="AD73" i="7" s="1"/>
  <c r="AD74" i="7" s="1"/>
  <c r="H40" i="8"/>
  <c r="H41" i="8" s="1"/>
  <c r="H43" i="8" s="1"/>
  <c r="H44" i="8" s="1"/>
  <c r="E70" i="7"/>
  <c r="E71" i="7" s="1"/>
  <c r="R45" i="7"/>
  <c r="R46" i="7" s="1"/>
  <c r="R48" i="7" s="1"/>
  <c r="R49" i="7" s="1"/>
  <c r="G21" i="1"/>
  <c r="G22" i="1" s="1"/>
  <c r="G24" i="1" s="1"/>
  <c r="G25" i="1" s="1"/>
  <c r="X70" i="7"/>
  <c r="X71" i="7" s="1"/>
  <c r="X73" i="7" s="1"/>
  <c r="X74" i="7" s="1"/>
  <c r="AW89" i="2"/>
  <c r="AW90" i="2" s="1"/>
  <c r="AW92" i="2" s="1"/>
  <c r="AW93" i="2" s="1"/>
  <c r="AC94" i="7"/>
  <c r="AC95" i="7" s="1"/>
  <c r="AC97" i="7" s="1"/>
  <c r="AC98" i="7" s="1"/>
  <c r="AH95" i="1"/>
  <c r="BC94" i="2"/>
  <c r="BC95" i="2" s="1"/>
  <c r="BC97" i="2" s="1"/>
  <c r="BC98" i="2" s="1"/>
  <c r="E94" i="7"/>
  <c r="E95" i="7" s="1"/>
  <c r="E97" i="7" s="1"/>
  <c r="E98" i="7" s="1"/>
  <c r="L95" i="7"/>
  <c r="W94" i="7"/>
  <c r="W95" i="7" s="1"/>
  <c r="W97" i="7" s="1"/>
  <c r="W98" i="7" s="1"/>
  <c r="AH96" i="1"/>
  <c r="AH98" i="1" s="1"/>
  <c r="AH99" i="1" s="1"/>
  <c r="AI95" i="1"/>
  <c r="AI96" i="1" s="1"/>
  <c r="AI98" i="1" s="1"/>
  <c r="AI99" i="1" s="1"/>
  <c r="CE43" i="7"/>
  <c r="CE42" i="7"/>
  <c r="CE41" i="7"/>
  <c r="CE40" i="7"/>
  <c r="CE39" i="7"/>
  <c r="CE38" i="7"/>
  <c r="CE37" i="7"/>
  <c r="CE36" i="7"/>
  <c r="CE30" i="7"/>
  <c r="CE45" i="7" l="1"/>
  <c r="CE46" i="7" s="1"/>
  <c r="CE48" i="7" s="1"/>
  <c r="CE49" i="7" s="1"/>
  <c r="E73" i="7"/>
  <c r="E74" i="7" s="1"/>
  <c r="F71" i="7"/>
  <c r="BH34" i="2"/>
  <c r="BH35" i="2"/>
  <c r="L62" i="7"/>
  <c r="L61" i="7"/>
  <c r="L60" i="7"/>
  <c r="L59" i="7"/>
  <c r="L58" i="7"/>
  <c r="L57" i="7"/>
  <c r="L56" i="7"/>
  <c r="L55" i="7"/>
  <c r="L54" i="7"/>
  <c r="AD89" i="2"/>
  <c r="AD90" i="2"/>
  <c r="AD88" i="2"/>
  <c r="AD85" i="2"/>
  <c r="AD84" i="2"/>
  <c r="AD83" i="2"/>
  <c r="AD82" i="2"/>
  <c r="AD80" i="2"/>
  <c r="AD95" i="2"/>
  <c r="AD96" i="2" s="1"/>
  <c r="AD98" i="2" s="1"/>
  <c r="AD99" i="2" s="1"/>
  <c r="F89" i="2"/>
  <c r="F88" i="2"/>
  <c r="F85" i="2"/>
  <c r="F84" i="2"/>
  <c r="F83" i="2"/>
  <c r="F82" i="2"/>
  <c r="F81" i="2"/>
  <c r="F80" i="2"/>
  <c r="F79" i="2"/>
  <c r="F64" i="2"/>
  <c r="F56" i="2"/>
  <c r="F57" i="2"/>
  <c r="F58" i="2"/>
  <c r="F59" i="2"/>
  <c r="F60" i="2"/>
  <c r="F61" i="2"/>
  <c r="F62" i="2"/>
  <c r="F63" i="2"/>
  <c r="R59" i="2"/>
  <c r="R58" i="2"/>
  <c r="R57" i="2"/>
  <c r="R56" i="2"/>
  <c r="R55" i="2"/>
  <c r="R54" i="2"/>
  <c r="R53" i="2"/>
  <c r="X35" i="7"/>
  <c r="R65" i="2" l="1"/>
  <c r="R66" i="2" s="1"/>
  <c r="R68" i="2" s="1"/>
  <c r="R69" i="2" s="1"/>
  <c r="F65" i="2"/>
  <c r="F66" i="2" s="1"/>
  <c r="F68" i="2" s="1"/>
  <c r="F69" i="2" s="1"/>
  <c r="F90" i="2"/>
  <c r="F91" i="2" s="1"/>
  <c r="F93" i="2" s="1"/>
  <c r="F94" i="2" s="1"/>
  <c r="L64" i="7"/>
  <c r="L65" i="7" s="1"/>
  <c r="L67" i="7" s="1"/>
  <c r="L68" i="7" s="1"/>
  <c r="X34" i="7"/>
  <c r="X33" i="7"/>
  <c r="X32" i="7"/>
  <c r="X31" i="7"/>
  <c r="X30" i="7"/>
  <c r="X29" i="7"/>
  <c r="X43" i="7"/>
  <c r="X42" i="7"/>
  <c r="X41" i="7"/>
  <c r="X45" i="7"/>
  <c r="X46" i="7" s="1"/>
  <c r="X48" i="7" s="1"/>
  <c r="X49" i="7" s="1"/>
  <c r="CQ7" i="7"/>
  <c r="CQ5" i="7"/>
  <c r="CQ17" i="7"/>
  <c r="CQ18" i="7" s="1"/>
  <c r="CQ20" i="7" s="1"/>
  <c r="CQ21" i="7" s="1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29" i="7"/>
  <c r="E43" i="7"/>
  <c r="E42" i="7"/>
  <c r="E41" i="7"/>
  <c r="E40" i="7"/>
  <c r="E39" i="7"/>
  <c r="E38" i="7"/>
  <c r="E37" i="7"/>
  <c r="E35" i="7"/>
  <c r="E34" i="7"/>
  <c r="E33" i="7"/>
  <c r="E31" i="7"/>
  <c r="E30" i="7"/>
  <c r="E29" i="7"/>
  <c r="CK5" i="7"/>
  <c r="CK9" i="7"/>
  <c r="E45" i="7" l="1"/>
  <c r="E46" i="7" s="1"/>
  <c r="E48" i="7" s="1"/>
  <c r="E49" i="7" s="1"/>
  <c r="L45" i="7"/>
  <c r="L46" i="7" s="1"/>
  <c r="L48" i="7" s="1"/>
  <c r="L49" i="7" s="1"/>
  <c r="CK18" i="7"/>
  <c r="CK17" i="7"/>
  <c r="CK16" i="7"/>
  <c r="CK15" i="7"/>
  <c r="CK8" i="7"/>
  <c r="CK7" i="7"/>
  <c r="CK6" i="7"/>
  <c r="CK4" i="7"/>
  <c r="CK20" i="7" s="1"/>
  <c r="CK21" i="7" s="1"/>
  <c r="CK23" i="7" s="1"/>
  <c r="CK24" i="7" s="1"/>
  <c r="CE5" i="7"/>
  <c r="CE4" i="7"/>
  <c r="CE20" i="7" s="1"/>
  <c r="CE21" i="7" s="1"/>
  <c r="CE23" i="7" s="1"/>
  <c r="CE24" i="7" s="1"/>
  <c r="CE18" i="7"/>
  <c r="CE17" i="7"/>
  <c r="CE16" i="7"/>
  <c r="CE15" i="7"/>
  <c r="BY18" i="7"/>
  <c r="BY17" i="7"/>
  <c r="BY16" i="7"/>
  <c r="BY15" i="7"/>
  <c r="BY14" i="7"/>
  <c r="BY13" i="7"/>
  <c r="BY12" i="7"/>
  <c r="BY11" i="7"/>
  <c r="BY10" i="7"/>
  <c r="BY9" i="7"/>
  <c r="BY8" i="7"/>
  <c r="BY7" i="7"/>
  <c r="BY6" i="7"/>
  <c r="BY5" i="7"/>
  <c r="BY4" i="7"/>
  <c r="BS18" i="7"/>
  <c r="BS17" i="7"/>
  <c r="BS16" i="7"/>
  <c r="BS15" i="7"/>
  <c r="BS13" i="7"/>
  <c r="BS12" i="7"/>
  <c r="BS11" i="7"/>
  <c r="BS10" i="7"/>
  <c r="BS9" i="7"/>
  <c r="BS8" i="7"/>
  <c r="BS7" i="7"/>
  <c r="BS6" i="7"/>
  <c r="BS5" i="7"/>
  <c r="BS4" i="7"/>
  <c r="BS20" i="7" l="1"/>
  <c r="BS21" i="7" s="1"/>
  <c r="BS23" i="7" s="1"/>
  <c r="BS24" i="7" s="1"/>
  <c r="BY20" i="7"/>
  <c r="BY21" i="7" s="1"/>
  <c r="BY23" i="7" s="1"/>
  <c r="BY24" i="7" s="1"/>
  <c r="BM5" i="7"/>
  <c r="BM6" i="7"/>
  <c r="BM7" i="7"/>
  <c r="BM8" i="7"/>
  <c r="BM9" i="7"/>
  <c r="BM10" i="7"/>
  <c r="BM11" i="7"/>
  <c r="BM12" i="7"/>
  <c r="BM18" i="7"/>
  <c r="BM17" i="7"/>
  <c r="BM16" i="7"/>
  <c r="BM15" i="7"/>
  <c r="BM13" i="7"/>
  <c r="BM4" i="7"/>
  <c r="BG7" i="7"/>
  <c r="BG6" i="7"/>
  <c r="BG21" i="7" s="1"/>
  <c r="BG22" i="7" s="1"/>
  <c r="BG24" i="7" s="1"/>
  <c r="BG25" i="7" s="1"/>
  <c r="BA18" i="7"/>
  <c r="BA17" i="7"/>
  <c r="BA16" i="7"/>
  <c r="BA15" i="7"/>
  <c r="BA13" i="7"/>
  <c r="BA12" i="7"/>
  <c r="BA11" i="7"/>
  <c r="BA10" i="7"/>
  <c r="BA9" i="7"/>
  <c r="BA8" i="7"/>
  <c r="BA7" i="7"/>
  <c r="BA6" i="7"/>
  <c r="BA4" i="7"/>
  <c r="AU18" i="7"/>
  <c r="AU17" i="7"/>
  <c r="AU16" i="7"/>
  <c r="AU15" i="7"/>
  <c r="AU14" i="7"/>
  <c r="AU13" i="7"/>
  <c r="AU12" i="7"/>
  <c r="AU11" i="7"/>
  <c r="AU10" i="7"/>
  <c r="AU9" i="7"/>
  <c r="AU8" i="7"/>
  <c r="AU7" i="7"/>
  <c r="AU6" i="7"/>
  <c r="AU5" i="7"/>
  <c r="AU4" i="7"/>
  <c r="AU20" i="7" l="1"/>
  <c r="AU21" i="7" s="1"/>
  <c r="AU23" i="7" s="1"/>
  <c r="AU24" i="7" s="1"/>
  <c r="BA20" i="7"/>
  <c r="BA21" i="7" s="1"/>
  <c r="BA23" i="7" s="1"/>
  <c r="BA24" i="7" s="1"/>
  <c r="BM20" i="7"/>
  <c r="BM21" i="7" s="1"/>
  <c r="BM23" i="7" s="1"/>
  <c r="BM24" i="7" s="1"/>
  <c r="AO18" i="7"/>
  <c r="AO17" i="7"/>
  <c r="AO16" i="7"/>
  <c r="AO15" i="7"/>
  <c r="AO14" i="7"/>
  <c r="AO13" i="7"/>
  <c r="AO12" i="7"/>
  <c r="AO11" i="7"/>
  <c r="AO10" i="7"/>
  <c r="AO9" i="7"/>
  <c r="AO8" i="7"/>
  <c r="AO7" i="7"/>
  <c r="AO6" i="7"/>
  <c r="AO5" i="7"/>
  <c r="AO4" i="7"/>
  <c r="AI4" i="7"/>
  <c r="AI7" i="7"/>
  <c r="AI8" i="7"/>
  <c r="AI10" i="7"/>
  <c r="AI11" i="7"/>
  <c r="AC18" i="7"/>
  <c r="AC17" i="7"/>
  <c r="AC16" i="7"/>
  <c r="AC15" i="7"/>
  <c r="AC14" i="7"/>
  <c r="AC13" i="7"/>
  <c r="AC12" i="7"/>
  <c r="AC11" i="7"/>
  <c r="AC10" i="7"/>
  <c r="AC9" i="7"/>
  <c r="AC8" i="7"/>
  <c r="AC7" i="7"/>
  <c r="AC6" i="7"/>
  <c r="AC5" i="7"/>
  <c r="AC4" i="7"/>
  <c r="W14" i="7"/>
  <c r="W13" i="7"/>
  <c r="W12" i="7"/>
  <c r="W11" i="7"/>
  <c r="W10" i="7"/>
  <c r="W9" i="7"/>
  <c r="W8" i="7"/>
  <c r="W7" i="7"/>
  <c r="W6" i="7"/>
  <c r="W5" i="7"/>
  <c r="W4" i="7"/>
  <c r="Q16" i="7"/>
  <c r="Q15" i="7"/>
  <c r="Q14" i="7"/>
  <c r="Q13" i="7"/>
  <c r="Q12" i="7"/>
  <c r="Q11" i="7"/>
  <c r="Q10" i="7"/>
  <c r="Q9" i="7"/>
  <c r="Q8" i="7"/>
  <c r="Q7" i="7"/>
  <c r="Q6" i="7"/>
  <c r="Q5" i="7"/>
  <c r="Q4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BB19" i="6"/>
  <c r="BA18" i="6"/>
  <c r="BB18" i="6" s="1"/>
  <c r="BA17" i="6"/>
  <c r="BB17" i="6" s="1"/>
  <c r="BA16" i="6"/>
  <c r="BB16" i="6" s="1"/>
  <c r="BA15" i="6"/>
  <c r="BB15" i="6" s="1"/>
  <c r="BA14" i="6"/>
  <c r="BB14" i="6" s="1"/>
  <c r="BA13" i="6"/>
  <c r="BB13" i="6" s="1"/>
  <c r="BA12" i="6"/>
  <c r="BB12" i="6" s="1"/>
  <c r="BA11" i="6"/>
  <c r="BB11" i="6" s="1"/>
  <c r="BA10" i="6"/>
  <c r="BB10" i="6" s="1"/>
  <c r="BA9" i="6"/>
  <c r="BB9" i="6" s="1"/>
  <c r="BA8" i="6"/>
  <c r="BB8" i="6" s="1"/>
  <c r="BA7" i="6"/>
  <c r="BB7" i="6" s="1"/>
  <c r="BA6" i="6"/>
  <c r="BB6" i="6" s="1"/>
  <c r="BA5" i="6"/>
  <c r="BB5" i="6" s="1"/>
  <c r="BA4" i="6"/>
  <c r="AU10" i="6"/>
  <c r="AU9" i="6"/>
  <c r="AU8" i="6"/>
  <c r="AU7" i="6"/>
  <c r="AU6" i="6"/>
  <c r="AU5" i="6"/>
  <c r="AU4" i="6"/>
  <c r="AO18" i="6"/>
  <c r="AO17" i="6"/>
  <c r="AO16" i="6"/>
  <c r="AO15" i="6"/>
  <c r="AO14" i="6"/>
  <c r="AO13" i="6"/>
  <c r="AO12" i="6"/>
  <c r="AO11" i="6"/>
  <c r="AO10" i="6"/>
  <c r="AO9" i="6"/>
  <c r="AO8" i="6"/>
  <c r="AO7" i="6"/>
  <c r="AO6" i="6"/>
  <c r="AO5" i="6"/>
  <c r="AO4" i="6"/>
  <c r="AI18" i="6"/>
  <c r="AI17" i="6"/>
  <c r="AI16" i="6"/>
  <c r="AI15" i="6"/>
  <c r="AI14" i="6"/>
  <c r="AI13" i="6"/>
  <c r="AI12" i="6"/>
  <c r="AI11" i="6"/>
  <c r="AI10" i="6"/>
  <c r="AI9" i="6"/>
  <c r="AI8" i="6"/>
  <c r="AI7" i="6"/>
  <c r="AI6" i="6"/>
  <c r="AI5" i="6"/>
  <c r="AI4" i="6"/>
  <c r="AB18" i="6"/>
  <c r="AB17" i="6"/>
  <c r="AB16" i="6"/>
  <c r="AB15" i="6"/>
  <c r="AB14" i="6"/>
  <c r="AB13" i="6"/>
  <c r="AB12" i="6"/>
  <c r="AB11" i="6"/>
  <c r="AB10" i="6"/>
  <c r="AB9" i="6"/>
  <c r="AB8" i="6"/>
  <c r="AB7" i="6"/>
  <c r="AB6" i="6"/>
  <c r="AB5" i="6"/>
  <c r="AB4" i="6"/>
  <c r="T18" i="6"/>
  <c r="T17" i="6"/>
  <c r="T16" i="6"/>
  <c r="T15" i="6"/>
  <c r="T14" i="6"/>
  <c r="T13" i="6"/>
  <c r="T12" i="6"/>
  <c r="T11" i="6"/>
  <c r="T10" i="6"/>
  <c r="T9" i="6"/>
  <c r="T8" i="6"/>
  <c r="T7" i="6"/>
  <c r="T6" i="6"/>
  <c r="T5" i="6"/>
  <c r="T4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M4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20" i="6" s="1"/>
  <c r="F21" i="6" s="1"/>
  <c r="F23" i="6" s="1"/>
  <c r="F24" i="6" s="1"/>
  <c r="CA29" i="1"/>
  <c r="CA40" i="1" s="1"/>
  <c r="CA41" i="1" s="1"/>
  <c r="CA43" i="1" s="1"/>
  <c r="CA44" i="1" s="1"/>
  <c r="BU34" i="1"/>
  <c r="BU35" i="1"/>
  <c r="BU36" i="1"/>
  <c r="BU41" i="1"/>
  <c r="BU40" i="1"/>
  <c r="BU39" i="1"/>
  <c r="BU38" i="1"/>
  <c r="BU37" i="1"/>
  <c r="BU33" i="1"/>
  <c r="BU32" i="1"/>
  <c r="BU31" i="1"/>
  <c r="BU30" i="1"/>
  <c r="BU29" i="1"/>
  <c r="BN38" i="1"/>
  <c r="BN37" i="1"/>
  <c r="BN36" i="1"/>
  <c r="BN35" i="1"/>
  <c r="BN34" i="1"/>
  <c r="BN33" i="1"/>
  <c r="BN32" i="1"/>
  <c r="BN31" i="1"/>
  <c r="BN30" i="1"/>
  <c r="BN29" i="1"/>
  <c r="BB42" i="1"/>
  <c r="BB41" i="1"/>
  <c r="BB40" i="1"/>
  <c r="BB39" i="1"/>
  <c r="BB38" i="1"/>
  <c r="BB37" i="1"/>
  <c r="BB36" i="1"/>
  <c r="BB35" i="1"/>
  <c r="BB34" i="1"/>
  <c r="BB33" i="1"/>
  <c r="BB32" i="1"/>
  <c r="BB31" i="1"/>
  <c r="BB30" i="1"/>
  <c r="BB29" i="1"/>
  <c r="BB28" i="1"/>
  <c r="BH30" i="1"/>
  <c r="BH31" i="1"/>
  <c r="BH32" i="1"/>
  <c r="BH33" i="1"/>
  <c r="BH34" i="1"/>
  <c r="BH35" i="1"/>
  <c r="BH36" i="1"/>
  <c r="BH37" i="1"/>
  <c r="BH43" i="1"/>
  <c r="BH42" i="1"/>
  <c r="BH41" i="1"/>
  <c r="BH40" i="1"/>
  <c r="BH39" i="1"/>
  <c r="BH38" i="1"/>
  <c r="BH29" i="1"/>
  <c r="AQ93" i="2"/>
  <c r="AQ92" i="2"/>
  <c r="AQ91" i="2"/>
  <c r="AQ90" i="2"/>
  <c r="AQ89" i="2"/>
  <c r="AQ88" i="2"/>
  <c r="AQ80" i="2"/>
  <c r="AQ79" i="2"/>
  <c r="AQ78" i="2"/>
  <c r="F29" i="4"/>
  <c r="F30" i="4"/>
  <c r="F38" i="4"/>
  <c r="F37" i="4"/>
  <c r="F36" i="4"/>
  <c r="F35" i="4"/>
  <c r="F34" i="4"/>
  <c r="F33" i="4"/>
  <c r="F28" i="4"/>
  <c r="F27" i="4"/>
  <c r="F26" i="4"/>
  <c r="F25" i="4"/>
  <c r="F24" i="4"/>
  <c r="BZ8" i="2"/>
  <c r="BZ7" i="2"/>
  <c r="BZ18" i="2"/>
  <c r="BZ17" i="2"/>
  <c r="BZ16" i="2"/>
  <c r="BZ15" i="2"/>
  <c r="BZ20" i="2"/>
  <c r="BZ21" i="2" s="1"/>
  <c r="BZ23" i="2" s="1"/>
  <c r="BZ24" i="2" s="1"/>
  <c r="BH18" i="1"/>
  <c r="BH17" i="1"/>
  <c r="BH16" i="1"/>
  <c r="BH15" i="1"/>
  <c r="BH14" i="1"/>
  <c r="BH13" i="1"/>
  <c r="BH12" i="1"/>
  <c r="BH6" i="1"/>
  <c r="BH5" i="1"/>
  <c r="BH4" i="1"/>
  <c r="X68" i="1"/>
  <c r="X67" i="1"/>
  <c r="X66" i="1"/>
  <c r="X65" i="1"/>
  <c r="X63" i="1"/>
  <c r="X62" i="1"/>
  <c r="X61" i="1"/>
  <c r="X60" i="1"/>
  <c r="X59" i="1"/>
  <c r="X58" i="1"/>
  <c r="X57" i="1"/>
  <c r="X56" i="1"/>
  <c r="X55" i="1"/>
  <c r="X54" i="1"/>
  <c r="BN40" i="1" l="1"/>
  <c r="BN41" i="1" s="1"/>
  <c r="BN43" i="1" s="1"/>
  <c r="BN44" i="1" s="1"/>
  <c r="BH20" i="1"/>
  <c r="BH21" i="1" s="1"/>
  <c r="BH23" i="1" s="1"/>
  <c r="BH24" i="1" s="1"/>
  <c r="BH45" i="1"/>
  <c r="BH46" i="1" s="1"/>
  <c r="BH48" i="1" s="1"/>
  <c r="BH49" i="1" s="1"/>
  <c r="E20" i="7"/>
  <c r="E21" i="7" s="1"/>
  <c r="E23" i="7" s="1"/>
  <c r="E24" i="7" s="1"/>
  <c r="T20" i="6"/>
  <c r="T21" i="6" s="1"/>
  <c r="T23" i="6" s="1"/>
  <c r="T24" i="6" s="1"/>
  <c r="AU20" i="6"/>
  <c r="AU21" i="6" s="1"/>
  <c r="AU23" i="6" s="1"/>
  <c r="AU24" i="6" s="1"/>
  <c r="AO20" i="7"/>
  <c r="AO21" i="7" s="1"/>
  <c r="AO23" i="7" s="1"/>
  <c r="AO24" i="7" s="1"/>
  <c r="F40" i="4"/>
  <c r="F41" i="4" s="1"/>
  <c r="F43" i="4" s="1"/>
  <c r="F44" i="4" s="1"/>
  <c r="AB20" i="6"/>
  <c r="AB21" i="6" s="1"/>
  <c r="AB23" i="6" s="1"/>
  <c r="AB24" i="6" s="1"/>
  <c r="AI20" i="6"/>
  <c r="AI21" i="6" s="1"/>
  <c r="AI23" i="6" s="1"/>
  <c r="AI24" i="6" s="1"/>
  <c r="M20" i="6"/>
  <c r="AO20" i="6"/>
  <c r="AO21" i="6" s="1"/>
  <c r="AO23" i="6" s="1"/>
  <c r="AO24" i="6" s="1"/>
  <c r="AQ95" i="2"/>
  <c r="AQ96" i="2" s="1"/>
  <c r="AQ98" i="2" s="1"/>
  <c r="AQ99" i="2" s="1"/>
  <c r="BU42" i="1"/>
  <c r="BU43" i="1" s="1"/>
  <c r="BU45" i="1" s="1"/>
  <c r="BU46" i="1" s="1"/>
  <c r="Q20" i="7"/>
  <c r="Q21" i="7" s="1"/>
  <c r="Q23" i="7" s="1"/>
  <c r="Q24" i="7" s="1"/>
  <c r="AC20" i="7"/>
  <c r="AC21" i="7" s="1"/>
  <c r="AC23" i="7" s="1"/>
  <c r="AC24" i="7" s="1"/>
  <c r="BB44" i="1"/>
  <c r="BB45" i="1" s="1"/>
  <c r="BB47" i="1" s="1"/>
  <c r="BB48" i="1" s="1"/>
  <c r="K20" i="7"/>
  <c r="K21" i="7" s="1"/>
  <c r="K23" i="7" s="1"/>
  <c r="K24" i="7" s="1"/>
  <c r="X70" i="1"/>
  <c r="X71" i="1" s="1"/>
  <c r="X73" i="1" s="1"/>
  <c r="X74" i="1" s="1"/>
  <c r="W17" i="7"/>
  <c r="W18" i="7" s="1"/>
  <c r="W20" i="7" s="1"/>
  <c r="W21" i="7" s="1"/>
  <c r="BA20" i="6"/>
  <c r="BA21" i="6" s="1"/>
  <c r="BA23" i="6" s="1"/>
  <c r="BA24" i="6" s="1"/>
  <c r="BB4" i="6"/>
  <c r="BB20" i="6" s="1"/>
  <c r="BB21" i="6" s="1"/>
  <c r="BB23" i="6" s="1"/>
  <c r="BB24" i="6" s="1"/>
  <c r="M21" i="6"/>
  <c r="N20" i="6"/>
  <c r="AH54" i="1"/>
  <c r="AH55" i="1"/>
  <c r="AH56" i="1"/>
  <c r="AH57" i="1"/>
  <c r="AH58" i="1"/>
  <c r="AH59" i="1"/>
  <c r="AH60" i="1"/>
  <c r="AH61" i="1"/>
  <c r="AH31" i="1"/>
  <c r="AH32" i="1"/>
  <c r="M23" i="6" l="1"/>
  <c r="M24" i="6" s="1"/>
  <c r="N21" i="6"/>
  <c r="N23" i="6" s="1"/>
  <c r="N24" i="6" s="1"/>
  <c r="AH67" i="1"/>
  <c r="AH66" i="1"/>
  <c r="AH65" i="1"/>
  <c r="AH53" i="1"/>
  <c r="AH42" i="1"/>
  <c r="AH41" i="1"/>
  <c r="AH40" i="1"/>
  <c r="AH39" i="1"/>
  <c r="AH38" i="1"/>
  <c r="AH37" i="1"/>
  <c r="AH36" i="1"/>
  <c r="AH35" i="1"/>
  <c r="AH34" i="1"/>
  <c r="AH33" i="1"/>
  <c r="AH30" i="1"/>
  <c r="AH29" i="1"/>
  <c r="AH28" i="1"/>
  <c r="BZ43" i="2"/>
  <c r="BZ42" i="2"/>
  <c r="BZ41" i="2"/>
  <c r="BZ40" i="2"/>
  <c r="BZ39" i="2"/>
  <c r="BZ38" i="2"/>
  <c r="BZ37" i="2"/>
  <c r="BZ35" i="2"/>
  <c r="BZ34" i="2"/>
  <c r="BZ33" i="2"/>
  <c r="BZ32" i="2"/>
  <c r="BZ31" i="2"/>
  <c r="BZ30" i="2"/>
  <c r="BZ29" i="2"/>
  <c r="BB17" i="2"/>
  <c r="AJ58" i="2"/>
  <c r="AJ59" i="2"/>
  <c r="AJ60" i="2"/>
  <c r="AJ57" i="2"/>
  <c r="AJ56" i="2"/>
  <c r="AJ55" i="2"/>
  <c r="AJ54" i="2"/>
  <c r="AJ53" i="2"/>
  <c r="BH68" i="2"/>
  <c r="BH67" i="2"/>
  <c r="BH66" i="2"/>
  <c r="BH65" i="2"/>
  <c r="BH64" i="2"/>
  <c r="BH63" i="2"/>
  <c r="BH62" i="2"/>
  <c r="BH61" i="2"/>
  <c r="BH60" i="2"/>
  <c r="BH59" i="2"/>
  <c r="BH58" i="2"/>
  <c r="BH57" i="2"/>
  <c r="BH56" i="2"/>
  <c r="BH55" i="2"/>
  <c r="BH54" i="2"/>
  <c r="X67" i="2"/>
  <c r="X66" i="2"/>
  <c r="X65" i="2"/>
  <c r="X64" i="2"/>
  <c r="X63" i="2"/>
  <c r="X58" i="2"/>
  <c r="X55" i="2"/>
  <c r="X54" i="2"/>
  <c r="X53" i="2"/>
  <c r="AW68" i="2"/>
  <c r="AW67" i="2"/>
  <c r="AW66" i="2"/>
  <c r="AW65" i="2"/>
  <c r="AW64" i="2"/>
  <c r="AW63" i="2"/>
  <c r="AW62" i="2"/>
  <c r="AW61" i="2"/>
  <c r="AW60" i="2"/>
  <c r="AW59" i="2"/>
  <c r="AW58" i="2"/>
  <c r="AW57" i="2"/>
  <c r="AW56" i="2"/>
  <c r="AW55" i="2"/>
  <c r="AW54" i="2"/>
  <c r="AQ68" i="2"/>
  <c r="AQ67" i="2"/>
  <c r="AQ66" i="2"/>
  <c r="AQ65" i="2"/>
  <c r="AQ64" i="2"/>
  <c r="AQ63" i="2"/>
  <c r="AQ62" i="2"/>
  <c r="AQ61" i="2"/>
  <c r="AQ60" i="2"/>
  <c r="AQ59" i="2"/>
  <c r="AQ58" i="2"/>
  <c r="AQ57" i="2"/>
  <c r="AQ56" i="2"/>
  <c r="AQ55" i="2"/>
  <c r="AQ54" i="2"/>
  <c r="AW70" i="2" l="1"/>
  <c r="AW71" i="2" s="1"/>
  <c r="AW73" i="2" s="1"/>
  <c r="AW74" i="2" s="1"/>
  <c r="AJ69" i="2"/>
  <c r="AJ70" i="2" s="1"/>
  <c r="AJ72" i="2" s="1"/>
  <c r="AJ73" i="2" s="1"/>
  <c r="AQ70" i="2"/>
  <c r="AQ71" i="2" s="1"/>
  <c r="AQ73" i="2" s="1"/>
  <c r="AQ74" i="2" s="1"/>
  <c r="BH70" i="2"/>
  <c r="BH71" i="2" s="1"/>
  <c r="BH73" i="2" s="1"/>
  <c r="BH74" i="2" s="1"/>
  <c r="X69" i="2"/>
  <c r="X70" i="2" s="1"/>
  <c r="X72" i="2" s="1"/>
  <c r="X73" i="2" s="1"/>
  <c r="AH69" i="1"/>
  <c r="AH44" i="1"/>
  <c r="AH45" i="1" s="1"/>
  <c r="AH47" i="1" s="1"/>
  <c r="AH48" i="1" s="1"/>
  <c r="BZ45" i="2"/>
  <c r="BZ46" i="2" s="1"/>
  <c r="BZ48" i="2" s="1"/>
  <c r="BZ49" i="2" s="1"/>
  <c r="AI44" i="1"/>
  <c r="AI45" i="1" s="1"/>
  <c r="AH70" i="1"/>
  <c r="AH72" i="1" s="1"/>
  <c r="AI69" i="1"/>
  <c r="AI70" i="1" s="1"/>
  <c r="AI72" i="1" s="1"/>
  <c r="AI73" i="1" s="1"/>
  <c r="L67" i="2"/>
  <c r="L66" i="2"/>
  <c r="L65" i="2"/>
  <c r="L64" i="2"/>
  <c r="L63" i="2"/>
  <c r="L62" i="2"/>
  <c r="L61" i="2"/>
  <c r="L60" i="2"/>
  <c r="L59" i="2"/>
  <c r="L58" i="2"/>
  <c r="L57" i="2"/>
  <c r="L56" i="2"/>
  <c r="L54" i="2"/>
  <c r="L53" i="2"/>
  <c r="BT10" i="2"/>
  <c r="BT12" i="2"/>
  <c r="BT9" i="2"/>
  <c r="BT8" i="2"/>
  <c r="BT7" i="2"/>
  <c r="BT6" i="2"/>
  <c r="BT5" i="2"/>
  <c r="BT4" i="2"/>
  <c r="BT18" i="2"/>
  <c r="BT17" i="2"/>
  <c r="BT16" i="2"/>
  <c r="BT15" i="2"/>
  <c r="BT14" i="2"/>
  <c r="BT43" i="2"/>
  <c r="BT42" i="2"/>
  <c r="BT41" i="2"/>
  <c r="BT40" i="2"/>
  <c r="BT39" i="2"/>
  <c r="BT38" i="2"/>
  <c r="BT37" i="2"/>
  <c r="BT36" i="2"/>
  <c r="BT35" i="2"/>
  <c r="BT34" i="2"/>
  <c r="BT33" i="2"/>
  <c r="BT32" i="2"/>
  <c r="BT31" i="2"/>
  <c r="BT30" i="2"/>
  <c r="BT29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H43" i="2"/>
  <c r="BH42" i="2"/>
  <c r="BH41" i="2"/>
  <c r="BH40" i="2"/>
  <c r="BH39" i="2"/>
  <c r="BH38" i="2"/>
  <c r="BH37" i="2"/>
  <c r="BH36" i="2"/>
  <c r="BH33" i="2"/>
  <c r="BH32" i="2"/>
  <c r="BH31" i="2"/>
  <c r="BH30" i="2"/>
  <c r="BH29" i="2"/>
  <c r="BB43" i="2"/>
  <c r="BB42" i="2"/>
  <c r="BB41" i="2"/>
  <c r="BB40" i="2"/>
  <c r="BB39" i="2"/>
  <c r="BB38" i="2"/>
  <c r="BB37" i="2"/>
  <c r="BB36" i="2"/>
  <c r="BB35" i="2"/>
  <c r="BB34" i="2"/>
  <c r="BB33" i="2"/>
  <c r="BB32" i="2"/>
  <c r="BB31" i="2"/>
  <c r="BB30" i="2"/>
  <c r="BB29" i="2"/>
  <c r="L13" i="4"/>
  <c r="L12" i="4"/>
  <c r="L11" i="4"/>
  <c r="L10" i="4"/>
  <c r="L9" i="4"/>
  <c r="L8" i="4"/>
  <c r="L7" i="4"/>
  <c r="L6" i="4"/>
  <c r="L5" i="4"/>
  <c r="L4" i="4"/>
  <c r="L15" i="4" s="1"/>
  <c r="L16" i="4" s="1"/>
  <c r="L18" i="4" s="1"/>
  <c r="L19" i="4" s="1"/>
  <c r="F13" i="4"/>
  <c r="F12" i="4"/>
  <c r="F11" i="4"/>
  <c r="F10" i="4"/>
  <c r="F9" i="4"/>
  <c r="F8" i="4"/>
  <c r="F7" i="4"/>
  <c r="F6" i="4"/>
  <c r="F5" i="4"/>
  <c r="F4" i="4"/>
  <c r="F15" i="4"/>
  <c r="F16" i="4" s="1"/>
  <c r="F18" i="4" s="1"/>
  <c r="F19" i="4" s="1"/>
  <c r="BZ7" i="1"/>
  <c r="AV43" i="2"/>
  <c r="AV42" i="2"/>
  <c r="AV41" i="2"/>
  <c r="AV40" i="2"/>
  <c r="AV39" i="2"/>
  <c r="AV38" i="2"/>
  <c r="AV37" i="2"/>
  <c r="AV36" i="2"/>
  <c r="AV35" i="2"/>
  <c r="AV34" i="2"/>
  <c r="AV33" i="2"/>
  <c r="AV32" i="2"/>
  <c r="AV31" i="2"/>
  <c r="AV30" i="2"/>
  <c r="AV29" i="2"/>
  <c r="AP43" i="2"/>
  <c r="AP42" i="2"/>
  <c r="AP41" i="2"/>
  <c r="AP40" i="2"/>
  <c r="AP39" i="2"/>
  <c r="AP38" i="2"/>
  <c r="AP37" i="2"/>
  <c r="AP36" i="2"/>
  <c r="AP35" i="2"/>
  <c r="AP34" i="2"/>
  <c r="AP33" i="2"/>
  <c r="AP32" i="2"/>
  <c r="AP31" i="2"/>
  <c r="AP30" i="2"/>
  <c r="AP29" i="2"/>
  <c r="AJ43" i="2"/>
  <c r="AJ42" i="2"/>
  <c r="AJ41" i="2"/>
  <c r="AJ40" i="2"/>
  <c r="AJ39" i="2"/>
  <c r="AJ38" i="2"/>
  <c r="AJ37" i="2"/>
  <c r="AJ36" i="2"/>
  <c r="AJ35" i="2"/>
  <c r="AJ34" i="2"/>
  <c r="AJ33" i="2"/>
  <c r="AJ32" i="2"/>
  <c r="AJ31" i="2"/>
  <c r="AJ30" i="2"/>
  <c r="AJ45" i="2" l="1"/>
  <c r="AJ46" i="2" s="1"/>
  <c r="AJ48" i="2" s="1"/>
  <c r="AJ49" i="2" s="1"/>
  <c r="BT20" i="2"/>
  <c r="BT21" i="2" s="1"/>
  <c r="BT23" i="2" s="1"/>
  <c r="BT24" i="2" s="1"/>
  <c r="BT45" i="2"/>
  <c r="BT46" i="2" s="1"/>
  <c r="BT48" i="2" s="1"/>
  <c r="BT49" i="2" s="1"/>
  <c r="AP45" i="2"/>
  <c r="AP46" i="2" s="1"/>
  <c r="AP48" i="2" s="1"/>
  <c r="AP49" i="2" s="1"/>
  <c r="BH45" i="2"/>
  <c r="BH46" i="2" s="1"/>
  <c r="BH48" i="2" s="1"/>
  <c r="BH49" i="2" s="1"/>
  <c r="AV45" i="2"/>
  <c r="BB45" i="2"/>
  <c r="BB46" i="2" s="1"/>
  <c r="BB48" i="2" s="1"/>
  <c r="BB49" i="2" s="1"/>
  <c r="L69" i="2"/>
  <c r="L70" i="2" s="1"/>
  <c r="L72" i="2" s="1"/>
  <c r="L73" i="2" s="1"/>
  <c r="BN45" i="2"/>
  <c r="BN46" i="2" s="1"/>
  <c r="BN48" i="2" s="1"/>
  <c r="BN49" i="2" s="1"/>
  <c r="AV46" i="2"/>
  <c r="AV48" i="2" s="1"/>
  <c r="AV49" i="2" s="1"/>
  <c r="AI47" i="1"/>
  <c r="AI48" i="1" s="1"/>
  <c r="X30" i="2"/>
  <c r="CL18" i="1"/>
  <c r="CL17" i="1"/>
  <c r="CL16" i="1"/>
  <c r="CL15" i="1"/>
  <c r="CL14" i="1"/>
  <c r="CL13" i="1"/>
  <c r="CL12" i="1"/>
  <c r="CL11" i="1"/>
  <c r="CL10" i="1"/>
  <c r="CL9" i="1"/>
  <c r="CL8" i="1"/>
  <c r="CL7" i="1"/>
  <c r="CL6" i="1"/>
  <c r="CL5" i="1"/>
  <c r="CL4" i="1"/>
  <c r="CF18" i="1"/>
  <c r="CF17" i="1"/>
  <c r="CF16" i="1"/>
  <c r="CF15" i="1"/>
  <c r="CF14" i="1"/>
  <c r="CF13" i="1"/>
  <c r="CF12" i="1"/>
  <c r="CF11" i="1"/>
  <c r="CF10" i="1"/>
  <c r="CF9" i="1"/>
  <c r="CF8" i="1"/>
  <c r="CF7" i="1"/>
  <c r="CF6" i="1"/>
  <c r="CF5" i="1"/>
  <c r="CF4" i="1"/>
  <c r="BZ18" i="1"/>
  <c r="BZ17" i="1"/>
  <c r="BZ16" i="1"/>
  <c r="BZ15" i="1"/>
  <c r="BZ14" i="1"/>
  <c r="BZ13" i="1"/>
  <c r="BZ12" i="1"/>
  <c r="BZ11" i="1"/>
  <c r="BZ10" i="1"/>
  <c r="BZ9" i="1"/>
  <c r="BZ8" i="1"/>
  <c r="BZ6" i="1"/>
  <c r="BZ5" i="1"/>
  <c r="BZ4" i="1"/>
  <c r="BT18" i="1"/>
  <c r="BT17" i="1"/>
  <c r="BT16" i="1"/>
  <c r="BT15" i="1"/>
  <c r="BT14" i="1"/>
  <c r="BT13" i="1"/>
  <c r="BT12" i="1"/>
  <c r="BT11" i="1"/>
  <c r="BT10" i="1"/>
  <c r="BT9" i="1"/>
  <c r="BT8" i="1"/>
  <c r="BT7" i="1"/>
  <c r="BT6" i="1"/>
  <c r="BT5" i="1"/>
  <c r="BT4" i="1"/>
  <c r="BN18" i="1"/>
  <c r="BN17" i="1"/>
  <c r="BN16" i="1"/>
  <c r="BN15" i="1"/>
  <c r="BN14" i="1"/>
  <c r="BN12" i="1"/>
  <c r="BN11" i="1"/>
  <c r="BN10" i="1"/>
  <c r="BN9" i="1"/>
  <c r="BN8" i="1"/>
  <c r="BN7" i="1"/>
  <c r="BN6" i="1"/>
  <c r="BN5" i="1"/>
  <c r="BN4" i="1"/>
  <c r="X42" i="2"/>
  <c r="X41" i="2"/>
  <c r="X40" i="2"/>
  <c r="X39" i="2"/>
  <c r="X38" i="2"/>
  <c r="X34" i="2"/>
  <c r="X33" i="2"/>
  <c r="X29" i="2"/>
  <c r="X28" i="2"/>
  <c r="BT20" i="1" l="1"/>
  <c r="BT21" i="1" s="1"/>
  <c r="BT23" i="1" s="1"/>
  <c r="BT24" i="1" s="1"/>
  <c r="X44" i="2"/>
  <c r="X45" i="2" s="1"/>
  <c r="X47" i="2" s="1"/>
  <c r="X48" i="2" s="1"/>
  <c r="BZ20" i="1"/>
  <c r="BZ21" i="1" s="1"/>
  <c r="BZ23" i="1" s="1"/>
  <c r="BZ24" i="1" s="1"/>
  <c r="CF20" i="1"/>
  <c r="CF21" i="1" s="1"/>
  <c r="CF23" i="1" s="1"/>
  <c r="CF24" i="1" s="1"/>
  <c r="CL20" i="1"/>
  <c r="CL21" i="1" s="1"/>
  <c r="BN20" i="1"/>
  <c r="BN21" i="1" s="1"/>
  <c r="BN23" i="1" s="1"/>
  <c r="BN24" i="1" s="1"/>
  <c r="CL23" i="1"/>
  <c r="CL24" i="1" s="1"/>
  <c r="CM21" i="1"/>
  <c r="R34" i="2"/>
  <c r="R33" i="2"/>
  <c r="R32" i="2"/>
  <c r="R31" i="2"/>
  <c r="R30" i="2"/>
  <c r="R29" i="2"/>
  <c r="R28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Q68" i="1"/>
  <c r="K68" i="1"/>
  <c r="E68" i="1"/>
  <c r="Q67" i="1"/>
  <c r="K67" i="1"/>
  <c r="E67" i="1"/>
  <c r="Q66" i="1"/>
  <c r="K66" i="1"/>
  <c r="E66" i="1"/>
  <c r="Q65" i="1"/>
  <c r="K65" i="1"/>
  <c r="E65" i="1"/>
  <c r="Q64" i="1"/>
  <c r="K64" i="1"/>
  <c r="E64" i="1"/>
  <c r="Q63" i="1"/>
  <c r="K63" i="1"/>
  <c r="E63" i="1"/>
  <c r="Q62" i="1"/>
  <c r="K62" i="1"/>
  <c r="E62" i="1"/>
  <c r="K61" i="1"/>
  <c r="E61" i="1"/>
  <c r="Q60" i="1"/>
  <c r="K60" i="1"/>
  <c r="E60" i="1"/>
  <c r="Q59" i="1"/>
  <c r="K59" i="1"/>
  <c r="E59" i="1"/>
  <c r="Q58" i="1"/>
  <c r="K58" i="1"/>
  <c r="E58" i="1"/>
  <c r="Q57" i="1"/>
  <c r="K57" i="1"/>
  <c r="E57" i="1"/>
  <c r="Q56" i="1"/>
  <c r="K56" i="1"/>
  <c r="E56" i="1"/>
  <c r="Q55" i="1"/>
  <c r="K55" i="1"/>
  <c r="E55" i="1"/>
  <c r="Q54" i="1"/>
  <c r="K54" i="1"/>
  <c r="E54" i="1"/>
  <c r="W44" i="1"/>
  <c r="Q44" i="1"/>
  <c r="E44" i="1"/>
  <c r="W43" i="1"/>
  <c r="Q43" i="1"/>
  <c r="E43" i="1"/>
  <c r="W42" i="1"/>
  <c r="Q42" i="1"/>
  <c r="E42" i="1"/>
  <c r="W41" i="1"/>
  <c r="Q41" i="1"/>
  <c r="E41" i="1"/>
  <c r="W40" i="1"/>
  <c r="Q40" i="1"/>
  <c r="E40" i="1"/>
  <c r="W39" i="1"/>
  <c r="Q39" i="1"/>
  <c r="E39" i="1"/>
  <c r="W38" i="1"/>
  <c r="Q38" i="1"/>
  <c r="E38" i="1"/>
  <c r="W37" i="1"/>
  <c r="Q37" i="1"/>
  <c r="E37" i="1"/>
  <c r="W36" i="1"/>
  <c r="Q36" i="1"/>
  <c r="K36" i="1"/>
  <c r="E36" i="1"/>
  <c r="W35" i="1"/>
  <c r="Q35" i="1"/>
  <c r="K35" i="1"/>
  <c r="E35" i="1"/>
  <c r="W34" i="1"/>
  <c r="Q34" i="1"/>
  <c r="K34" i="1"/>
  <c r="W33" i="1"/>
  <c r="Q33" i="1"/>
  <c r="K33" i="1"/>
  <c r="E33" i="1"/>
  <c r="W32" i="1"/>
  <c r="Q32" i="1"/>
  <c r="K32" i="1"/>
  <c r="E32" i="1"/>
  <c r="W31" i="1"/>
  <c r="Q31" i="1"/>
  <c r="K31" i="1"/>
  <c r="E31" i="1"/>
  <c r="W30" i="1"/>
  <c r="Q30" i="1"/>
  <c r="K30" i="1"/>
  <c r="E30" i="1"/>
  <c r="AQ43" i="1"/>
  <c r="AP42" i="1"/>
  <c r="AQ42" i="1" s="1"/>
  <c r="AP41" i="1"/>
  <c r="AQ41" i="1" s="1"/>
  <c r="AP40" i="1"/>
  <c r="AQ40" i="1" s="1"/>
  <c r="AP39" i="1"/>
  <c r="AP38" i="1"/>
  <c r="AQ38" i="1" s="1"/>
  <c r="AP36" i="1"/>
  <c r="AQ36" i="1" s="1"/>
  <c r="AP35" i="1"/>
  <c r="AQ35" i="1" s="1"/>
  <c r="AP34" i="1"/>
  <c r="AQ34" i="1" s="1"/>
  <c r="AP33" i="1"/>
  <c r="AQ33" i="1" s="1"/>
  <c r="AP32" i="1"/>
  <c r="AQ32" i="1" s="1"/>
  <c r="AP31" i="1"/>
  <c r="AQ31" i="1" s="1"/>
  <c r="AP30" i="1"/>
  <c r="AQ30" i="1" s="1"/>
  <c r="AP29" i="1"/>
  <c r="AQ29" i="1" s="1"/>
  <c r="AP28" i="1"/>
  <c r="BN18" i="2"/>
  <c r="BH18" i="2"/>
  <c r="BB18" i="2"/>
  <c r="AV18" i="2"/>
  <c r="AP18" i="2"/>
  <c r="AJ18" i="2"/>
  <c r="X18" i="2"/>
  <c r="F18" i="2"/>
  <c r="BN17" i="2"/>
  <c r="BH17" i="2"/>
  <c r="AV17" i="2"/>
  <c r="AP17" i="2"/>
  <c r="AJ17" i="2"/>
  <c r="X17" i="2"/>
  <c r="F17" i="2"/>
  <c r="BN16" i="2"/>
  <c r="BH16" i="2"/>
  <c r="BB16" i="2"/>
  <c r="AV16" i="2"/>
  <c r="AP16" i="2"/>
  <c r="AJ16" i="2"/>
  <c r="X16" i="2"/>
  <c r="L16" i="2"/>
  <c r="F16" i="2"/>
  <c r="BN15" i="2"/>
  <c r="BH15" i="2"/>
  <c r="BB15" i="2"/>
  <c r="AV15" i="2"/>
  <c r="AP15" i="2"/>
  <c r="AJ15" i="2"/>
  <c r="X15" i="2"/>
  <c r="L15" i="2"/>
  <c r="F15" i="2"/>
  <c r="BN14" i="2"/>
  <c r="BH14" i="2"/>
  <c r="BB14" i="2"/>
  <c r="AV14" i="2"/>
  <c r="AP14" i="2"/>
  <c r="AJ14" i="2"/>
  <c r="X14" i="2"/>
  <c r="L14" i="2"/>
  <c r="F14" i="2"/>
  <c r="BN13" i="2"/>
  <c r="BH13" i="2"/>
  <c r="BB13" i="2"/>
  <c r="AV13" i="2"/>
  <c r="AP13" i="2"/>
  <c r="AJ13" i="2"/>
  <c r="X13" i="2"/>
  <c r="L13" i="2"/>
  <c r="F13" i="2"/>
  <c r="BN12" i="2"/>
  <c r="BH12" i="2"/>
  <c r="BB12" i="2"/>
  <c r="AV12" i="2"/>
  <c r="AP12" i="2"/>
  <c r="AJ12" i="2"/>
  <c r="X12" i="2"/>
  <c r="L12" i="2"/>
  <c r="F12" i="2"/>
  <c r="BN11" i="2"/>
  <c r="BH11" i="2"/>
  <c r="BB11" i="2"/>
  <c r="AV11" i="2"/>
  <c r="AP11" i="2"/>
  <c r="AJ11" i="2"/>
  <c r="X11" i="2"/>
  <c r="R11" i="2"/>
  <c r="L11" i="2"/>
  <c r="F11" i="2"/>
  <c r="BN10" i="2"/>
  <c r="BH10" i="2"/>
  <c r="BB10" i="2"/>
  <c r="AV10" i="2"/>
  <c r="AP10" i="2"/>
  <c r="AJ10" i="2"/>
  <c r="X10" i="2"/>
  <c r="R10" i="2"/>
  <c r="L10" i="2"/>
  <c r="F10" i="2"/>
  <c r="BN9" i="2"/>
  <c r="BH9" i="2"/>
  <c r="BB9" i="2"/>
  <c r="AV9" i="2"/>
  <c r="AP9" i="2"/>
  <c r="AD58" i="2"/>
  <c r="X9" i="2"/>
  <c r="R9" i="2"/>
  <c r="L9" i="2"/>
  <c r="F9" i="2"/>
  <c r="BN8" i="2"/>
  <c r="BH8" i="2"/>
  <c r="BB8" i="2"/>
  <c r="AV8" i="2"/>
  <c r="AP8" i="2"/>
  <c r="AJ8" i="2"/>
  <c r="AD57" i="2"/>
  <c r="X8" i="2"/>
  <c r="R8" i="2"/>
  <c r="L8" i="2"/>
  <c r="F8" i="2"/>
  <c r="BN7" i="2"/>
  <c r="AV7" i="2"/>
  <c r="AP7" i="2"/>
  <c r="AJ9" i="2"/>
  <c r="AD56" i="2"/>
  <c r="X7" i="2"/>
  <c r="R7" i="2"/>
  <c r="L7" i="2"/>
  <c r="F7" i="2"/>
  <c r="BN6" i="2"/>
  <c r="BB6" i="2"/>
  <c r="AV6" i="2"/>
  <c r="AP6" i="2"/>
  <c r="AJ6" i="2"/>
  <c r="AD55" i="2"/>
  <c r="X6" i="2"/>
  <c r="R6" i="2"/>
  <c r="L6" i="2"/>
  <c r="F6" i="2"/>
  <c r="BN5" i="2"/>
  <c r="BH5" i="2"/>
  <c r="BB5" i="2"/>
  <c r="AV5" i="2"/>
  <c r="AP5" i="2"/>
  <c r="AJ5" i="2"/>
  <c r="AD54" i="2"/>
  <c r="X5" i="2"/>
  <c r="R5" i="2"/>
  <c r="L5" i="2"/>
  <c r="F5" i="2"/>
  <c r="BN4" i="2"/>
  <c r="BH4" i="2"/>
  <c r="BB4" i="2"/>
  <c r="AV4" i="2"/>
  <c r="AP4" i="2"/>
  <c r="AJ4" i="2"/>
  <c r="AD53" i="2"/>
  <c r="R4" i="2"/>
  <c r="L4" i="2"/>
  <c r="F4" i="2"/>
  <c r="R3" i="2"/>
  <c r="R2" i="2"/>
  <c r="BB18" i="1"/>
  <c r="AJ18" i="1"/>
  <c r="AD18" i="1"/>
  <c r="X18" i="1"/>
  <c r="R18" i="1"/>
  <c r="L18" i="1"/>
  <c r="BB17" i="1"/>
  <c r="AJ17" i="1"/>
  <c r="AD17" i="1"/>
  <c r="X17" i="1"/>
  <c r="R17" i="1"/>
  <c r="L17" i="1"/>
  <c r="BB16" i="1"/>
  <c r="AJ16" i="1"/>
  <c r="AD16" i="1"/>
  <c r="X16" i="1"/>
  <c r="R16" i="1"/>
  <c r="L16" i="1"/>
  <c r="BB15" i="1"/>
  <c r="AJ15" i="1"/>
  <c r="AD15" i="1"/>
  <c r="X15" i="1"/>
  <c r="R15" i="1"/>
  <c r="L15" i="1"/>
  <c r="BB14" i="1"/>
  <c r="AJ14" i="1"/>
  <c r="AD14" i="1"/>
  <c r="X14" i="1"/>
  <c r="R14" i="1"/>
  <c r="L14" i="1"/>
  <c r="BB13" i="1"/>
  <c r="AJ13" i="1"/>
  <c r="AD13" i="1"/>
  <c r="X13" i="1"/>
  <c r="R13" i="1"/>
  <c r="L13" i="1"/>
  <c r="BB12" i="1"/>
  <c r="AP12" i="1"/>
  <c r="AJ12" i="1"/>
  <c r="AD12" i="1"/>
  <c r="X12" i="1"/>
  <c r="R12" i="1"/>
  <c r="L12" i="1"/>
  <c r="BB11" i="1"/>
  <c r="AP11" i="1"/>
  <c r="AJ11" i="1"/>
  <c r="AD11" i="1"/>
  <c r="X11" i="1"/>
  <c r="R11" i="1"/>
  <c r="L11" i="1"/>
  <c r="BB10" i="1"/>
  <c r="AP10" i="1"/>
  <c r="AJ10" i="1"/>
  <c r="AD10" i="1"/>
  <c r="X10" i="1"/>
  <c r="R10" i="1"/>
  <c r="L10" i="1"/>
  <c r="BB9" i="1"/>
  <c r="AP9" i="1"/>
  <c r="AJ9" i="1"/>
  <c r="AD9" i="1"/>
  <c r="X9" i="1"/>
  <c r="R9" i="1"/>
  <c r="L9" i="1"/>
  <c r="BB8" i="1"/>
  <c r="AP8" i="1"/>
  <c r="AJ8" i="1"/>
  <c r="AD8" i="1"/>
  <c r="X8" i="1"/>
  <c r="R8" i="1"/>
  <c r="L8" i="1"/>
  <c r="BB7" i="1"/>
  <c r="AP7" i="1"/>
  <c r="AJ7" i="1"/>
  <c r="AD7" i="1"/>
  <c r="X7" i="1"/>
  <c r="R7" i="1"/>
  <c r="L7" i="1"/>
  <c r="BB6" i="1"/>
  <c r="AP6" i="1"/>
  <c r="AJ6" i="1"/>
  <c r="AD6" i="1"/>
  <c r="X6" i="1"/>
  <c r="R6" i="1"/>
  <c r="L6" i="1"/>
  <c r="BB5" i="1"/>
  <c r="AP5" i="1"/>
  <c r="AJ5" i="1"/>
  <c r="AD5" i="1"/>
  <c r="X5" i="1"/>
  <c r="R5" i="1"/>
  <c r="L5" i="1"/>
  <c r="BB4" i="1"/>
  <c r="AP4" i="1"/>
  <c r="AJ4" i="1"/>
  <c r="AD4" i="1"/>
  <c r="X4" i="1"/>
  <c r="R4" i="1"/>
  <c r="L4" i="1"/>
  <c r="AQ4" i="1" l="1"/>
  <c r="AS4" i="1"/>
  <c r="AR4" i="1"/>
  <c r="CG21" i="1"/>
  <c r="AQ8" i="1"/>
  <c r="AS8" i="1"/>
  <c r="AR8" i="1"/>
  <c r="AR10" i="1"/>
  <c r="AS10" i="1"/>
  <c r="AQ10" i="1"/>
  <c r="AS5" i="1"/>
  <c r="AR5" i="1"/>
  <c r="AQ5" i="1"/>
  <c r="AQ12" i="1"/>
  <c r="AR12" i="1"/>
  <c r="AS12" i="1"/>
  <c r="AR9" i="1"/>
  <c r="AS9" i="1"/>
  <c r="AQ9" i="1"/>
  <c r="AR11" i="1"/>
  <c r="AQ11" i="1"/>
  <c r="AS11" i="1"/>
  <c r="AQ6" i="1"/>
  <c r="AQ20" i="1" s="1"/>
  <c r="AQ21" i="1" s="1"/>
  <c r="AQ23" i="1" s="1"/>
  <c r="AQ24" i="1" s="1"/>
  <c r="AS6" i="1"/>
  <c r="AR6" i="1"/>
  <c r="AQ7" i="1"/>
  <c r="AR7" i="1"/>
  <c r="AS7" i="1"/>
  <c r="BN20" i="2"/>
  <c r="BN21" i="2" s="1"/>
  <c r="BN23" i="2" s="1"/>
  <c r="BN24" i="2" s="1"/>
  <c r="F20" i="2"/>
  <c r="F21" i="2" s="1"/>
  <c r="F23" i="2" s="1"/>
  <c r="F24" i="2" s="1"/>
  <c r="L20" i="1"/>
  <c r="L21" i="1" s="1"/>
  <c r="L23" i="1" s="1"/>
  <c r="L24" i="1" s="1"/>
  <c r="L20" i="2"/>
  <c r="L21" i="2" s="1"/>
  <c r="L23" i="2" s="1"/>
  <c r="L24" i="2" s="1"/>
  <c r="R20" i="2"/>
  <c r="R21" i="2" s="1"/>
  <c r="R23" i="2" s="1"/>
  <c r="R24" i="2" s="1"/>
  <c r="AD69" i="2"/>
  <c r="AD70" i="2" s="1"/>
  <c r="AD72" i="2" s="1"/>
  <c r="AD73" i="2" s="1"/>
  <c r="F44" i="2"/>
  <c r="F45" i="2" s="1"/>
  <c r="F47" i="2" s="1"/>
  <c r="F48" i="2" s="1"/>
  <c r="X20" i="2"/>
  <c r="X21" i="2" s="1"/>
  <c r="X23" i="2" s="1"/>
  <c r="X24" i="2" s="1"/>
  <c r="R20" i="1"/>
  <c r="R21" i="1" s="1"/>
  <c r="R23" i="1" s="1"/>
  <c r="R24" i="1" s="1"/>
  <c r="K46" i="1"/>
  <c r="K47" i="1" s="1"/>
  <c r="K49" i="1" s="1"/>
  <c r="K50" i="1" s="1"/>
  <c r="X20" i="1"/>
  <c r="X21" i="1" s="1"/>
  <c r="X23" i="1" s="1"/>
  <c r="X24" i="1" s="1"/>
  <c r="Q46" i="1"/>
  <c r="Q47" i="1" s="1"/>
  <c r="Q49" i="1" s="1"/>
  <c r="Q50" i="1" s="1"/>
  <c r="L44" i="2"/>
  <c r="L45" i="2" s="1"/>
  <c r="L47" i="2" s="1"/>
  <c r="L48" i="2" s="1"/>
  <c r="AJ20" i="2"/>
  <c r="AJ21" i="2" s="1"/>
  <c r="AJ23" i="2" s="1"/>
  <c r="AJ24" i="2" s="1"/>
  <c r="W46" i="1"/>
  <c r="W47" i="1" s="1"/>
  <c r="W49" i="1" s="1"/>
  <c r="W50" i="1" s="1"/>
  <c r="E70" i="1"/>
  <c r="E71" i="1" s="1"/>
  <c r="E73" i="1" s="1"/>
  <c r="E74" i="1" s="1"/>
  <c r="E46" i="1"/>
  <c r="E47" i="1" s="1"/>
  <c r="E49" i="1" s="1"/>
  <c r="E50" i="1" s="1"/>
  <c r="AJ20" i="1"/>
  <c r="AJ21" i="1" s="1"/>
  <c r="AJ23" i="1" s="1"/>
  <c r="AJ24" i="1" s="1"/>
  <c r="AP20" i="2"/>
  <c r="AP21" i="2" s="1"/>
  <c r="AP23" i="2" s="1"/>
  <c r="AP24" i="2" s="1"/>
  <c r="K70" i="1"/>
  <c r="K71" i="1" s="1"/>
  <c r="K73" i="1" s="1"/>
  <c r="K74" i="1" s="1"/>
  <c r="AV20" i="2"/>
  <c r="AV21" i="2" s="1"/>
  <c r="AV23" i="2" s="1"/>
  <c r="AV24" i="2" s="1"/>
  <c r="Q70" i="1"/>
  <c r="Q71" i="1" s="1"/>
  <c r="Q73" i="1" s="1"/>
  <c r="Q74" i="1" s="1"/>
  <c r="BB20" i="2"/>
  <c r="BB21" i="2" s="1"/>
  <c r="BB23" i="2" s="1"/>
  <c r="BB24" i="2" s="1"/>
  <c r="R44" i="2"/>
  <c r="R45" i="2" s="1"/>
  <c r="BB20" i="1"/>
  <c r="BB21" i="1" s="1"/>
  <c r="BB23" i="1" s="1"/>
  <c r="BB24" i="1" s="1"/>
  <c r="BH20" i="2"/>
  <c r="BH21" i="2" s="1"/>
  <c r="BH23" i="2" s="1"/>
  <c r="BH24" i="2" s="1"/>
  <c r="AD20" i="1"/>
  <c r="AE20" i="1" s="1"/>
  <c r="AD21" i="1"/>
  <c r="AP44" i="1"/>
  <c r="AP45" i="1" s="1"/>
  <c r="AP47" i="1" s="1"/>
  <c r="AP48" i="1" s="1"/>
  <c r="AQ28" i="1"/>
  <c r="AQ44" i="1" s="1"/>
  <c r="AQ45" i="1" s="1"/>
  <c r="AQ47" i="1" s="1"/>
  <c r="AQ48" i="1" s="1"/>
  <c r="AP20" i="1"/>
  <c r="AP21" i="1" s="1"/>
  <c r="AP23" i="1" s="1"/>
  <c r="AP24" i="1" s="1"/>
  <c r="AS20" i="1" l="1"/>
  <c r="AS21" i="1" s="1"/>
  <c r="AS23" i="1" s="1"/>
  <c r="AS24" i="1" s="1"/>
  <c r="AR20" i="1"/>
  <c r="AR21" i="1" s="1"/>
  <c r="AR23" i="1" s="1"/>
  <c r="AR24" i="1" s="1"/>
  <c r="L47" i="1"/>
  <c r="R47" i="2"/>
  <c r="R48" i="2" s="1"/>
  <c r="AE21" i="1"/>
  <c r="AD23" i="1"/>
  <c r="AD24" i="1" s="1"/>
  <c r="AE23" i="1"/>
  <c r="AE24" i="1" s="1"/>
</calcChain>
</file>

<file path=xl/sharedStrings.xml><?xml version="1.0" encoding="utf-8"?>
<sst xmlns="http://schemas.openxmlformats.org/spreadsheetml/2006/main" count="3462" uniqueCount="518">
  <si>
    <t xml:space="preserve">CRAQUELIN </t>
  </si>
  <si>
    <t xml:space="preserve">CHOC CHIP </t>
  </si>
  <si>
    <t xml:space="preserve">Pastry Cream </t>
  </si>
  <si>
    <t>Item</t>
  </si>
  <si>
    <t>UOM</t>
  </si>
  <si>
    <t>Unit Cost</t>
  </si>
  <si>
    <t>Quantity</t>
  </si>
  <si>
    <t>Cost</t>
  </si>
  <si>
    <t>BUTTER</t>
  </si>
  <si>
    <t>KG</t>
  </si>
  <si>
    <t xml:space="preserve">BUTTER </t>
  </si>
  <si>
    <t xml:space="preserve">KG </t>
  </si>
  <si>
    <t>MILK</t>
  </si>
  <si>
    <t>BROWN SUGAR</t>
  </si>
  <si>
    <t xml:space="preserve">SUGAR </t>
  </si>
  <si>
    <t xml:space="preserve">VANILLA ESSENCE </t>
  </si>
  <si>
    <t xml:space="preserve">CAKE FLOUR </t>
  </si>
  <si>
    <t xml:space="preserve">LIGHT BROWN SUGAR </t>
  </si>
  <si>
    <t xml:space="preserve">WHITE SUGAR </t>
  </si>
  <si>
    <t>EGGS</t>
  </si>
  <si>
    <t>EGG</t>
  </si>
  <si>
    <t>EGG YOLK</t>
  </si>
  <si>
    <t xml:space="preserve">FLOUR </t>
  </si>
  <si>
    <t xml:space="preserve">CORNFLOUR </t>
  </si>
  <si>
    <t xml:space="preserve">SALT </t>
  </si>
  <si>
    <t xml:space="preserve">CHOCLATE CHIPS </t>
  </si>
  <si>
    <t>Total Cost Ex VAT</t>
  </si>
  <si>
    <t>Total Cost incl VAT</t>
  </si>
  <si>
    <t>Sales Price</t>
  </si>
  <si>
    <t>Cost Of Sales%</t>
  </si>
  <si>
    <t>GP%</t>
  </si>
  <si>
    <t xml:space="preserve">ALMOND CREAM </t>
  </si>
  <si>
    <t>MADELINE - 13</t>
  </si>
  <si>
    <t>CASTOR SUGAR</t>
  </si>
  <si>
    <t>EACH</t>
  </si>
  <si>
    <t>SUGAR</t>
  </si>
  <si>
    <t xml:space="preserve">ALMOND POWDER </t>
  </si>
  <si>
    <t>WARM MILK</t>
  </si>
  <si>
    <t>LT</t>
  </si>
  <si>
    <t>HONEY</t>
  </si>
  <si>
    <t xml:space="preserve">ORANGE </t>
  </si>
  <si>
    <t xml:space="preserve">6 ORANGES </t>
  </si>
  <si>
    <t xml:space="preserve">YEAST fresh </t>
  </si>
  <si>
    <t>VANILLA</t>
  </si>
  <si>
    <t xml:space="preserve">LT </t>
  </si>
  <si>
    <t>FLOUR</t>
  </si>
  <si>
    <t>BAKING POWDER</t>
  </si>
  <si>
    <t xml:space="preserve">Plain CROISSANTS </t>
  </si>
  <si>
    <t xml:space="preserve">BIG PLAIN CROSSAINTS </t>
  </si>
  <si>
    <t xml:space="preserve">CHOCOLATE </t>
  </si>
  <si>
    <t xml:space="preserve">ALMOND </t>
  </si>
  <si>
    <t xml:space="preserve">CHOCO ALMOND </t>
  </si>
  <si>
    <t xml:space="preserve">CHELSEA </t>
  </si>
  <si>
    <t xml:space="preserve">MINI CHELSEA </t>
  </si>
  <si>
    <t>SWISS</t>
  </si>
  <si>
    <t>KUIGN AMANN</t>
  </si>
  <si>
    <t>PANINI</t>
  </si>
  <si>
    <t xml:space="preserve">BAGUETTE </t>
  </si>
  <si>
    <t>LONG BAGUETTES</t>
  </si>
  <si>
    <t xml:space="preserve">SOUR DOUGH </t>
  </si>
  <si>
    <t xml:space="preserve">SMALL SOUR DOUGH </t>
  </si>
  <si>
    <t xml:space="preserve">WHEAT </t>
  </si>
  <si>
    <t>CIABATA</t>
  </si>
  <si>
    <t xml:space="preserve">BIRIOCHE KITCHEN </t>
  </si>
  <si>
    <t xml:space="preserve">BIRIOCHE TO SELL </t>
  </si>
  <si>
    <t xml:space="preserve">ROLLS </t>
  </si>
  <si>
    <t>SMALL ROLLS</t>
  </si>
  <si>
    <t xml:space="preserve">PANINI </t>
  </si>
  <si>
    <t>FLAN</t>
  </si>
  <si>
    <t xml:space="preserve">SEED LOAF </t>
  </si>
  <si>
    <t xml:space="preserve">PUFF PASTRY </t>
  </si>
  <si>
    <t xml:space="preserve">CHICKEN PIE </t>
  </si>
  <si>
    <t xml:space="preserve">BEEF PIE </t>
  </si>
  <si>
    <t>PROFITEROLES</t>
  </si>
  <si>
    <t xml:space="preserve">PARIS BREST </t>
  </si>
  <si>
    <t>ÉCLAIR</t>
  </si>
  <si>
    <t xml:space="preserve">MILLIE FEUILLE </t>
  </si>
  <si>
    <t xml:space="preserve">PALMIERS </t>
  </si>
  <si>
    <t xml:space="preserve">FINANCIER </t>
  </si>
  <si>
    <t xml:space="preserve">ST HONORE </t>
  </si>
  <si>
    <t xml:space="preserve">FRAISIER </t>
  </si>
  <si>
    <t xml:space="preserve">STRAWBERRY TART </t>
  </si>
  <si>
    <t xml:space="preserve">LEMON MERINGUE </t>
  </si>
  <si>
    <t>TUILES AUX AMANDES-34</t>
  </si>
  <si>
    <t>GLUTEN FREE</t>
  </si>
  <si>
    <t>CIABBATTA</t>
  </si>
  <si>
    <t>Baguette</t>
  </si>
  <si>
    <t xml:space="preserve">SOURDOUGH </t>
  </si>
  <si>
    <t xml:space="preserve">CROSSAINT- 8 dough  -9 kg </t>
  </si>
  <si>
    <t xml:space="preserve">30 mini strawberry </t>
  </si>
  <si>
    <t>EGG WHITE</t>
  </si>
  <si>
    <t xml:space="preserve">EGGS </t>
  </si>
  <si>
    <t xml:space="preserve">30 mini lemon meringue </t>
  </si>
  <si>
    <t xml:space="preserve">30 mini madeleine </t>
  </si>
  <si>
    <t>ALMOND POWDER</t>
  </si>
  <si>
    <t xml:space="preserve">YEAST </t>
  </si>
  <si>
    <t>YEAST fresh</t>
  </si>
  <si>
    <t>30 tuiles aux amandes</t>
  </si>
  <si>
    <t xml:space="preserve">OLIVE OIL </t>
  </si>
  <si>
    <t>FLOUR starter</t>
  </si>
  <si>
    <t>YEAST</t>
  </si>
  <si>
    <t xml:space="preserve">30 mini crossaint </t>
  </si>
  <si>
    <t xml:space="preserve">5 wheat </t>
  </si>
  <si>
    <t xml:space="preserve">FLAKED ALMONDS </t>
  </si>
  <si>
    <t xml:space="preserve">IBZ </t>
  </si>
  <si>
    <t xml:space="preserve">5 seeded </t>
  </si>
  <si>
    <t xml:space="preserve">5ciabatta </t>
  </si>
  <si>
    <t xml:space="preserve">5 sour dough </t>
  </si>
  <si>
    <t xml:space="preserve">  </t>
  </si>
  <si>
    <t xml:space="preserve">ENGLISH BREAKFAST </t>
  </si>
  <si>
    <t xml:space="preserve">OMLETTE </t>
  </si>
  <si>
    <t xml:space="preserve">BIRIOCHE </t>
  </si>
  <si>
    <t>EGGS BENEDICT</t>
  </si>
  <si>
    <t xml:space="preserve">BURGER GOURMAND </t>
  </si>
  <si>
    <t xml:space="preserve">CHICKEN SNIITZEL </t>
  </si>
  <si>
    <t xml:space="preserve">BEEF FILLET </t>
  </si>
  <si>
    <t xml:space="preserve">MIXED GRILL COMBO </t>
  </si>
  <si>
    <t>FISH AL MEUNIERE</t>
  </si>
  <si>
    <t>HOLLANDNAISE -8 PORTION 500ML</t>
  </si>
  <si>
    <t>BANANA</t>
  </si>
  <si>
    <t>CROSSAINTS</t>
  </si>
  <si>
    <t>SALMON</t>
  </si>
  <si>
    <t>MINCE</t>
  </si>
  <si>
    <t>CHICKEN BREAST</t>
  </si>
  <si>
    <t xml:space="preserve">FILLET </t>
  </si>
  <si>
    <t>TBONE</t>
  </si>
  <si>
    <t xml:space="preserve">HAKE </t>
  </si>
  <si>
    <t xml:space="preserve">CIABATTA </t>
  </si>
  <si>
    <t xml:space="preserve">EACH </t>
  </si>
  <si>
    <t>STRAWBERRIES</t>
  </si>
  <si>
    <t>MACON</t>
  </si>
  <si>
    <t>ROLL</t>
  </si>
  <si>
    <t xml:space="preserve">EGGS  </t>
  </si>
  <si>
    <t>MUSHROOM</t>
  </si>
  <si>
    <t xml:space="preserve">CHICKEN BREAST </t>
  </si>
  <si>
    <t xml:space="preserve">SALAD </t>
  </si>
  <si>
    <t xml:space="preserve">LEMON </t>
  </si>
  <si>
    <t xml:space="preserve">TOMATO </t>
  </si>
  <si>
    <t>CHEDDER CHEESE</t>
  </si>
  <si>
    <t>BLUEBERIIES</t>
  </si>
  <si>
    <t>GARLIC</t>
  </si>
  <si>
    <t>LETTUCE</t>
  </si>
  <si>
    <t>POTATOES</t>
  </si>
  <si>
    <t xml:space="preserve">SAUASAGE </t>
  </si>
  <si>
    <t xml:space="preserve">MUSHROOM </t>
  </si>
  <si>
    <t>ICING SUGAR</t>
  </si>
  <si>
    <t>ONIONS</t>
  </si>
  <si>
    <t>BBQ SPICE</t>
  </si>
  <si>
    <t>VINEGAR</t>
  </si>
  <si>
    <t>GHERKINS</t>
  </si>
  <si>
    <t xml:space="preserve">MUSHROOMS </t>
  </si>
  <si>
    <t xml:space="preserve">ROSEMARY </t>
  </si>
  <si>
    <t xml:space="preserve">VEGETABLE </t>
  </si>
  <si>
    <t>FISH SPICE</t>
  </si>
  <si>
    <t>COOKING OIL</t>
  </si>
  <si>
    <t>TOMATO</t>
  </si>
  <si>
    <t xml:space="preserve">COOKING OIL </t>
  </si>
  <si>
    <t>MAYONAISE</t>
  </si>
  <si>
    <t xml:space="preserve">ONIONS </t>
  </si>
  <si>
    <t xml:space="preserve">THYME </t>
  </si>
  <si>
    <t>LEMON</t>
  </si>
  <si>
    <t>CHILLI</t>
  </si>
  <si>
    <t>BALSAMIC VINEGAR</t>
  </si>
  <si>
    <t xml:space="preserve">HOLLANDAISE </t>
  </si>
  <si>
    <t xml:space="preserve">PORTION </t>
  </si>
  <si>
    <t>TOMATOES</t>
  </si>
  <si>
    <t>SALT</t>
  </si>
  <si>
    <t xml:space="preserve">BLACK PEPPER </t>
  </si>
  <si>
    <t xml:space="preserve">APPLES </t>
  </si>
  <si>
    <t>CHEDDER</t>
  </si>
  <si>
    <t>CHIPS</t>
  </si>
  <si>
    <t xml:space="preserve">GREEN PEPPER </t>
  </si>
  <si>
    <t xml:space="preserve">SAUSAGES </t>
  </si>
  <si>
    <t>RED PEPPER</t>
  </si>
  <si>
    <t xml:space="preserve">RED PEPEPR </t>
  </si>
  <si>
    <t xml:space="preserve">MACON </t>
  </si>
  <si>
    <t xml:space="preserve">YELLOW PEPPER </t>
  </si>
  <si>
    <t xml:space="preserve">CHERRY TOMATOES </t>
  </si>
  <si>
    <t xml:space="preserve">BALSAMIC VINEGAR </t>
  </si>
  <si>
    <t>CHERRY TOMATOES</t>
  </si>
  <si>
    <t xml:space="preserve">SOY SAUCE </t>
  </si>
  <si>
    <t xml:space="preserve">CREAM </t>
  </si>
  <si>
    <t>BLACK PEPPER</t>
  </si>
  <si>
    <t xml:space="preserve">GARLIC </t>
  </si>
  <si>
    <t xml:space="preserve">CHIPS </t>
  </si>
  <si>
    <t xml:space="preserve">ALMOND CROSSAINT- 8 dough  -9 kg </t>
  </si>
  <si>
    <t>ALMOND CREAM</t>
  </si>
  <si>
    <t xml:space="preserve">ALOMD FLAKES </t>
  </si>
  <si>
    <t xml:space="preserve">80G </t>
  </si>
  <si>
    <t>CRONUT</t>
  </si>
  <si>
    <t>CARAMEL PECAN TARTS</t>
  </si>
  <si>
    <t xml:space="preserve">MACARONS </t>
  </si>
  <si>
    <t>MADELEINES</t>
  </si>
  <si>
    <t xml:space="preserve">COOKIES </t>
  </si>
  <si>
    <t xml:space="preserve">GLUTEN FREE MINI CAKE </t>
  </si>
  <si>
    <t xml:space="preserve">TUILES AUX AMANDES </t>
  </si>
  <si>
    <t xml:space="preserve">MINI MERINGUES FOR COFFEE </t>
  </si>
  <si>
    <t xml:space="preserve">CHICKEN SANDWICH </t>
  </si>
  <si>
    <t>BAGUETTE</t>
  </si>
  <si>
    <t xml:space="preserve">LETTUCE </t>
  </si>
  <si>
    <t xml:space="preserve">MAYONAISE </t>
  </si>
  <si>
    <t xml:space="preserve">TOMATOES </t>
  </si>
  <si>
    <t xml:space="preserve">BEEF SANDWICH </t>
  </si>
  <si>
    <t>RUMP</t>
  </si>
  <si>
    <t xml:space="preserve">MUSTARD </t>
  </si>
  <si>
    <t>;'.</t>
  </si>
  <si>
    <t xml:space="preserve">SALMON MAGON </t>
  </si>
  <si>
    <t xml:space="preserve">FETA SANDWICH </t>
  </si>
  <si>
    <t xml:space="preserve">FETA  </t>
  </si>
  <si>
    <t xml:space="preserve">OLIVES </t>
  </si>
  <si>
    <t>CRÈME PAT</t>
  </si>
  <si>
    <t xml:space="preserve">CHICEKN PIE </t>
  </si>
  <si>
    <t>BEEF FILLING</t>
  </si>
  <si>
    <t xml:space="preserve">ICING SUGAR </t>
  </si>
  <si>
    <t>MILLEFEUILLE</t>
  </si>
  <si>
    <t>20 PIES</t>
  </si>
  <si>
    <t xml:space="preserve">PIE FILLING </t>
  </si>
  <si>
    <t>SPINACH</t>
  </si>
  <si>
    <t>BUTTERNUT</t>
  </si>
  <si>
    <t xml:space="preserve">CHICKEN FILLING </t>
  </si>
  <si>
    <t>CREAM</t>
  </si>
  <si>
    <t xml:space="preserve">EQUALS </t>
  </si>
  <si>
    <t xml:space="preserve">38 PORTIONS </t>
  </si>
  <si>
    <t xml:space="preserve">26 PORTIONS </t>
  </si>
  <si>
    <t xml:space="preserve">FILLING </t>
  </si>
  <si>
    <t xml:space="preserve">SWEET CHILLI SAUCE </t>
  </si>
  <si>
    <t xml:space="preserve">BURGER PATTY </t>
  </si>
  <si>
    <t xml:space="preserve">SWEET CHILLI BURGER </t>
  </si>
  <si>
    <t xml:space="preserve">OCEAN COMBO </t>
  </si>
  <si>
    <t xml:space="preserve">CALAMARI </t>
  </si>
  <si>
    <t xml:space="preserve">FISH SPICE </t>
  </si>
  <si>
    <t xml:space="preserve">PINEAPPLE RINGS </t>
  </si>
  <si>
    <t xml:space="preserve">BLONDIE SANDWICH </t>
  </si>
  <si>
    <t>CIABATTA</t>
  </si>
  <si>
    <t xml:space="preserve">FILLET STEAK </t>
  </si>
  <si>
    <t>ONION</t>
  </si>
  <si>
    <t xml:space="preserve">LEMONADE </t>
  </si>
  <si>
    <t>STRAWBERRY</t>
  </si>
  <si>
    <t xml:space="preserve">PNT </t>
  </si>
  <si>
    <t xml:space="preserve">6.5 LT </t>
  </si>
  <si>
    <t xml:space="preserve">ORANGE JUICE </t>
  </si>
  <si>
    <t xml:space="preserve">ORANGES </t>
  </si>
  <si>
    <t xml:space="preserve">SURF AND TURF </t>
  </si>
  <si>
    <t>FILLE STEAK</t>
  </si>
  <si>
    <t xml:space="preserve">TBONE </t>
  </si>
  <si>
    <t xml:space="preserve">EGG </t>
  </si>
  <si>
    <t xml:space="preserve">VEG </t>
  </si>
  <si>
    <t xml:space="preserve">PRAWNS </t>
  </si>
  <si>
    <t xml:space="preserve">PARSLEY </t>
  </si>
  <si>
    <t xml:space="preserve">CORRIANDER </t>
  </si>
  <si>
    <t>VEG</t>
  </si>
  <si>
    <t xml:space="preserve">BLACK PEPEPR </t>
  </si>
  <si>
    <t xml:space="preserve">CHICKEN SKEWERS </t>
  </si>
  <si>
    <t>OLIVE OIL</t>
  </si>
  <si>
    <t>CHIPC</t>
  </si>
  <si>
    <t xml:space="preserve">NEW FRENCH TOAST </t>
  </si>
  <si>
    <t xml:space="preserve">ICE CRESM </t>
  </si>
  <si>
    <t xml:space="preserve">CUCUMBER </t>
  </si>
  <si>
    <t>PASTRAMI</t>
  </si>
  <si>
    <t xml:space="preserve">BEEF BOWL </t>
  </si>
  <si>
    <t xml:space="preserve">COUCOUS </t>
  </si>
  <si>
    <t xml:space="preserve">CARROTS </t>
  </si>
  <si>
    <t xml:space="preserve">BUTTERNUT </t>
  </si>
  <si>
    <t xml:space="preserve">AVOCADO </t>
  </si>
  <si>
    <t xml:space="preserve">POTATOES </t>
  </si>
  <si>
    <t>BONE MARROW</t>
  </si>
  <si>
    <t xml:space="preserve">RICE </t>
  </si>
  <si>
    <t xml:space="preserve">SALMON SALAD </t>
  </si>
  <si>
    <t xml:space="preserve">CUCUMABE </t>
  </si>
  <si>
    <t>RED ONIONS</t>
  </si>
  <si>
    <t xml:space="preserve">PEPPERS </t>
  </si>
  <si>
    <t xml:space="preserve">RUMP MJUSTARD </t>
  </si>
  <si>
    <t xml:space="preserve">POTATO </t>
  </si>
  <si>
    <t xml:space="preserve">MED SALAD </t>
  </si>
  <si>
    <t xml:space="preserve">CHICK PEAS </t>
  </si>
  <si>
    <t xml:space="preserve">FETA </t>
  </si>
  <si>
    <t>CAPERS</t>
  </si>
  <si>
    <t xml:space="preserve"> -</t>
  </si>
  <si>
    <t>FILLET</t>
  </si>
  <si>
    <t>x</t>
  </si>
  <si>
    <t xml:space="preserve">SMOKED SALMON BAGEL </t>
  </si>
  <si>
    <t xml:space="preserve">SMOKED SALMON  </t>
  </si>
  <si>
    <t>CREAM CHEESE</t>
  </si>
  <si>
    <t xml:space="preserve">BAGEL </t>
  </si>
  <si>
    <t xml:space="preserve"> </t>
  </si>
  <si>
    <t xml:space="preserve">CHEESECAKE </t>
  </si>
  <si>
    <t xml:space="preserve">CREAM CHEESE </t>
  </si>
  <si>
    <t xml:space="preserve">CREAM   </t>
  </si>
  <si>
    <t xml:space="preserve">BUCHE DE NOEL </t>
  </si>
  <si>
    <t xml:space="preserve">CASTOR SUGAR </t>
  </si>
  <si>
    <t xml:space="preserve">FRESH CREAM </t>
  </si>
  <si>
    <t xml:space="preserve">CREPE </t>
  </si>
  <si>
    <t xml:space="preserve">PACAKGIN </t>
  </si>
  <si>
    <t>BRIOCHE -23 TO 25 ROLLS 120 G</t>
  </si>
  <si>
    <t xml:space="preserve">CHOOCOLATE CAKE </t>
  </si>
  <si>
    <t xml:space="preserve">COCOA POWDER </t>
  </si>
  <si>
    <t xml:space="preserve">OIL </t>
  </si>
  <si>
    <t xml:space="preserve">HALF DOGH </t>
  </si>
  <si>
    <t xml:space="preserve">RAISINS </t>
  </si>
  <si>
    <t xml:space="preserve">PASTRY CREA </t>
  </si>
  <si>
    <t>CHELSEA</t>
  </si>
  <si>
    <t xml:space="preserve">herbs </t>
  </si>
  <si>
    <t>parmesan</t>
  </si>
  <si>
    <t xml:space="preserve">CHOCLATE </t>
  </si>
  <si>
    <t xml:space="preserve">BLACK PEPPER CORNS </t>
  </si>
  <si>
    <t xml:space="preserve">CINAMMON </t>
  </si>
  <si>
    <t xml:space="preserve">MARSHMALLOW </t>
  </si>
  <si>
    <t xml:space="preserve">HOT CHOCLATE </t>
  </si>
  <si>
    <t>PASTA0</t>
  </si>
  <si>
    <t>1 TBSP</t>
  </si>
  <si>
    <t xml:space="preserve">HOT CROSS BUN </t>
  </si>
  <si>
    <t xml:space="preserve">MILK </t>
  </si>
  <si>
    <t>ORANGE</t>
  </si>
  <si>
    <t>CHOCOLATE 70</t>
  </si>
  <si>
    <t>ORANGE JUICE</t>
  </si>
  <si>
    <t>CHOC ORANGE CAKE - NEW 8.03.25</t>
  </si>
  <si>
    <t>5 USD</t>
  </si>
  <si>
    <t xml:space="preserve">HOC </t>
  </si>
  <si>
    <t>COCOA POWDER</t>
  </si>
  <si>
    <t>CHOCOLATE CAKE - NEW 8.03.25</t>
  </si>
  <si>
    <t xml:space="preserve">CARROT CAKE </t>
  </si>
  <si>
    <t>DRIED YEAST</t>
  </si>
  <si>
    <t>CINAMMON</t>
  </si>
  <si>
    <t>CARROTS</t>
  </si>
  <si>
    <t>COTTAGE CHEESE</t>
  </si>
  <si>
    <t xml:space="preserve">CENT TOMATO </t>
  </si>
  <si>
    <t xml:space="preserve">BATONNE </t>
  </si>
  <si>
    <t>CHOCOLATE 50</t>
  </si>
  <si>
    <t xml:space="preserve">BROWN FLOUR </t>
  </si>
  <si>
    <t xml:space="preserve">DRIED YEAST </t>
  </si>
  <si>
    <t>WHOLE WHEAT -YIELD 6</t>
  </si>
  <si>
    <t xml:space="preserve">POOLISH -YIELD 4 </t>
  </si>
  <si>
    <t xml:space="preserve">SEEDED BREADB YIELD 6 </t>
  </si>
  <si>
    <t>POPPY SEEDS</t>
  </si>
  <si>
    <t>LIN SEEDS</t>
  </si>
  <si>
    <t xml:space="preserve">SUNFLOWER SEEDS </t>
  </si>
  <si>
    <t xml:space="preserve">BRIOCHE -23 TO 25 ROLLS </t>
  </si>
  <si>
    <t xml:space="preserve">QUARTER CHICKEN </t>
  </si>
  <si>
    <t xml:space="preserve">CHICKEN </t>
  </si>
  <si>
    <t>THAI BEEF SALAD</t>
  </si>
  <si>
    <t>RICE NOODLES</t>
  </si>
  <si>
    <t xml:space="preserve">YOGHURT </t>
  </si>
  <si>
    <t xml:space="preserve">CHIA </t>
  </si>
  <si>
    <t xml:space="preserve">ALMOND FLAKES </t>
  </si>
  <si>
    <t>STRAWBERRIES BLUE BERRIES N</t>
  </si>
  <si>
    <t xml:space="preserve">YOGHURT BOWL </t>
  </si>
  <si>
    <t>AUBERGINE GRATINEE</t>
  </si>
  <si>
    <t>CUCMBER</t>
  </si>
  <si>
    <t>PEPPERS</t>
  </si>
  <si>
    <t xml:space="preserve">HERBS </t>
  </si>
  <si>
    <t>CHEESE PANINI</t>
  </si>
  <si>
    <t>CROISSANT</t>
  </si>
  <si>
    <t xml:space="preserve">SMOKED SALMON CROISSANT </t>
  </si>
  <si>
    <t xml:space="preserve">SADZA </t>
  </si>
  <si>
    <t xml:space="preserve">PASTA </t>
  </si>
  <si>
    <t>PASTA -6 PORTION</t>
  </si>
  <si>
    <t xml:space="preserve">STEAK TARTARE </t>
  </si>
  <si>
    <t>BISTRO SALAD</t>
  </si>
  <si>
    <t xml:space="preserve">SWEET POTATO </t>
  </si>
  <si>
    <t xml:space="preserve">NUTS </t>
  </si>
  <si>
    <t xml:space="preserve">LIME </t>
  </si>
  <si>
    <t xml:space="preserve">WARM GOAT CHEESE SALAD </t>
  </si>
  <si>
    <t xml:space="preserve">NICOISE </t>
  </si>
  <si>
    <t xml:space="preserve">CDP CLUB </t>
  </si>
  <si>
    <t>SAUCISEE</t>
  </si>
  <si>
    <t xml:space="preserve">SAUSAGE </t>
  </si>
  <si>
    <t>CHEESE</t>
  </si>
  <si>
    <t>POOLISH</t>
  </si>
  <si>
    <t>TOAST</t>
  </si>
  <si>
    <t>NUTELLA</t>
  </si>
  <si>
    <t xml:space="preserve">NUTELLA CROISSANT </t>
  </si>
  <si>
    <t xml:space="preserve">TERRACE BREAKFAST </t>
  </si>
  <si>
    <t>PARISIENNE OMELETTE</t>
  </si>
  <si>
    <t xml:space="preserve">CDP FRENCH TOAST </t>
  </si>
  <si>
    <t xml:space="preserve">BREAD AND BUTTER </t>
  </si>
  <si>
    <t>YOGHURT AND SEASONAL FRUITS</t>
  </si>
  <si>
    <t>FISH A LA MEUNIERE</t>
  </si>
  <si>
    <t>STEAK TARTARE</t>
  </si>
  <si>
    <t>CHICKEN BALLOTINE</t>
  </si>
  <si>
    <t>LEMON AND HERB TAGLATELLES</t>
  </si>
  <si>
    <t>ZIMBO STYLE TBONE AND SADZA</t>
  </si>
  <si>
    <t>HARARE GARDEN NICOISE</t>
  </si>
  <si>
    <t>WARM GOAT CHEESE SALAD</t>
  </si>
  <si>
    <t>MADITERRANEANE</t>
  </si>
  <si>
    <t>NORVE GIENE</t>
  </si>
  <si>
    <t>FORESTIERE</t>
  </si>
  <si>
    <t xml:space="preserve">FARM STYLE </t>
  </si>
  <si>
    <t>BEEF BURGER</t>
  </si>
  <si>
    <t>CHICKEN BURGER</t>
  </si>
  <si>
    <t xml:space="preserve">CLUB SANDWICH </t>
  </si>
  <si>
    <t>NUTELLA CROISSANTS</t>
  </si>
  <si>
    <t>LEMON AND HERB PASTA</t>
  </si>
  <si>
    <t xml:space="preserve">CHICKEN BURGER </t>
  </si>
  <si>
    <t xml:space="preserve">CHICKEN BALLOTINE </t>
  </si>
  <si>
    <t>HP</t>
  </si>
  <si>
    <t>MINI POULET PANE ET FRITES</t>
  </si>
  <si>
    <t>SAUCISSE AT OEUF</t>
  </si>
  <si>
    <t>RED PASTA</t>
  </si>
  <si>
    <t xml:space="preserve">ONION </t>
  </si>
  <si>
    <t xml:space="preserve">CHICKEN STRIPS </t>
  </si>
  <si>
    <t>SWEET CHILLI</t>
  </si>
  <si>
    <t>CHEESECAKE</t>
  </si>
  <si>
    <t xml:space="preserve">CHOCOLATE ORANGE CAKE </t>
  </si>
  <si>
    <t xml:space="preserve">CHOCOLATE CAKE </t>
  </si>
  <si>
    <t>CRAQLIN</t>
  </si>
  <si>
    <t xml:space="preserve">PASTRY CREAM </t>
  </si>
  <si>
    <t>CHOCOLATE CAKE OLD</t>
  </si>
  <si>
    <t xml:space="preserve">CROISSANT </t>
  </si>
  <si>
    <t xml:space="preserve">BEEF FILLING </t>
  </si>
  <si>
    <t xml:space="preserve">LEMON CAKE </t>
  </si>
  <si>
    <t xml:space="preserve">truffle cheese </t>
  </si>
  <si>
    <t xml:space="preserve">cheese and truffle omelette </t>
  </si>
  <si>
    <t>PROFITEROLE</t>
  </si>
  <si>
    <t xml:space="preserve">CATS TONGUE </t>
  </si>
  <si>
    <t xml:space="preserve">ICING </t>
  </si>
  <si>
    <t xml:space="preserve">1 USD FOR 4 </t>
  </si>
  <si>
    <t xml:space="preserve">TBONE AND GREEN BEANS </t>
  </si>
  <si>
    <t xml:space="preserve">GREEN BEANS </t>
  </si>
  <si>
    <t xml:space="preserve">TRUFFLE OIL </t>
  </si>
  <si>
    <t>oxtail</t>
  </si>
  <si>
    <t xml:space="preserve"> ['REZ6 M</t>
  </si>
  <si>
    <t xml:space="preserve">BUCKWHEAT </t>
  </si>
  <si>
    <t xml:space="preserve">SMOKED SALMON GALETTE </t>
  </si>
  <si>
    <t>GALETTA 22</t>
  </si>
  <si>
    <t xml:space="preserve">GALETTE </t>
  </si>
  <si>
    <t>CHIVES</t>
  </si>
  <si>
    <t xml:space="preserve">MED GALETTE </t>
  </si>
  <si>
    <t xml:space="preserve">MINCE </t>
  </si>
  <si>
    <t xml:space="preserve">BASIL </t>
  </si>
  <si>
    <t xml:space="preserve">WHOLE PEELE </t>
  </si>
  <si>
    <t xml:space="preserve">GSLETTE </t>
  </si>
  <si>
    <t xml:space="preserve">BRIE </t>
  </si>
  <si>
    <t xml:space="preserve">SMOKED CHICKEN </t>
  </si>
  <si>
    <t xml:space="preserve">CHEDDAR CHEESE </t>
  </si>
  <si>
    <t>PASTA</t>
  </si>
  <si>
    <t xml:space="preserve">raspberry </t>
  </si>
  <si>
    <t xml:space="preserve">pear </t>
  </si>
  <si>
    <t xml:space="preserve">white choc </t>
  </si>
  <si>
    <t xml:space="preserve">pistachio 1 soup spoon </t>
  </si>
  <si>
    <t xml:space="preserve">  vcx</t>
  </si>
  <si>
    <t xml:space="preserve">COFFEE </t>
  </si>
  <si>
    <t xml:space="preserve">COCOCTION </t>
  </si>
  <si>
    <t xml:space="preserve">LEMONS </t>
  </si>
  <si>
    <t xml:space="preserve">GINGER </t>
  </si>
  <si>
    <t xml:space="preserve">HONEY </t>
  </si>
  <si>
    <t xml:space="preserve">CHEESE PIE FILLING </t>
  </si>
  <si>
    <t>EMMENTALE</t>
  </si>
  <si>
    <t xml:space="preserve">CORNASSTARCH </t>
  </si>
  <si>
    <t xml:space="preserve">NUTMEG </t>
  </si>
  <si>
    <t xml:space="preserve">CHEESE PIE </t>
  </si>
  <si>
    <t xml:space="preserve">gruyere </t>
  </si>
  <si>
    <t xml:space="preserve">gouyere </t>
  </si>
  <si>
    <t xml:space="preserve">butter </t>
  </si>
  <si>
    <t xml:space="preserve">flour </t>
  </si>
  <si>
    <t xml:space="preserve">chicken sliders </t>
  </si>
  <si>
    <t xml:space="preserve">FISH SLIDERS </t>
  </si>
  <si>
    <t xml:space="preserve">CARROT </t>
  </si>
  <si>
    <t xml:space="preserve">CABBAGE </t>
  </si>
  <si>
    <t xml:space="preserve">MAYO </t>
  </si>
  <si>
    <t>MUSTARD</t>
  </si>
  <si>
    <t xml:space="preserve">JALAPENO </t>
  </si>
  <si>
    <t>GREEN BEANS</t>
  </si>
  <si>
    <t>MUSHROOMS</t>
  </si>
  <si>
    <t>BLUE CHEESE</t>
  </si>
  <si>
    <t xml:space="preserve">BEEF SLIDERS </t>
  </si>
  <si>
    <t xml:space="preserve">BEEF WELLINGTON DECONSTRUCTED </t>
  </si>
  <si>
    <t xml:space="preserve">BLUE CHEESE </t>
  </si>
  <si>
    <t xml:space="preserve">LEMON JUICE </t>
  </si>
  <si>
    <t>BEEF FILLET</t>
  </si>
  <si>
    <t>tuna</t>
  </si>
  <si>
    <t xml:space="preserve">almon cream </t>
  </si>
  <si>
    <t xml:space="preserve">pastry cream </t>
  </si>
  <si>
    <t xml:space="preserve">cream </t>
  </si>
  <si>
    <t xml:space="preserve">puff pastry </t>
  </si>
  <si>
    <t xml:space="preserve">galette </t>
  </si>
  <si>
    <t xml:space="preserve">puff </t>
  </si>
  <si>
    <t xml:space="preserve">kg </t>
  </si>
  <si>
    <t xml:space="preserve">filling </t>
  </si>
  <si>
    <t xml:space="preserve">WINGS </t>
  </si>
  <si>
    <t xml:space="preserve">BBQ SAUCE </t>
  </si>
  <si>
    <t xml:space="preserve">TIGER PRAWNS </t>
  </si>
  <si>
    <t xml:space="preserve">GRILLED PRAWNS </t>
  </si>
  <si>
    <t xml:space="preserve">BASMATI RICE </t>
  </si>
  <si>
    <t xml:space="preserve">DESICATED COCONUT </t>
  </si>
  <si>
    <t xml:space="preserve">SPECIALS </t>
  </si>
  <si>
    <t xml:space="preserve">CASHEW NUTS </t>
  </si>
  <si>
    <t>COCONUT MILK</t>
  </si>
  <si>
    <t xml:space="preserve">BROWNIES </t>
  </si>
  <si>
    <t xml:space="preserve">MIL CHOCOLATE </t>
  </si>
  <si>
    <t>CHICKEN croissant</t>
  </si>
  <si>
    <t xml:space="preserve">croissant </t>
  </si>
  <si>
    <t>CHOCOALTE TART</t>
  </si>
  <si>
    <t>CHOUX</t>
  </si>
  <si>
    <t>beef croissant</t>
  </si>
  <si>
    <t>beef fillet</t>
  </si>
  <si>
    <t>MED</t>
  </si>
  <si>
    <t>N</t>
  </si>
  <si>
    <t>MINI</t>
  </si>
  <si>
    <t xml:space="preserve">MBATTONES </t>
  </si>
  <si>
    <t xml:space="preserve">BIG CHOC CHIP 12 YIELD </t>
  </si>
  <si>
    <t xml:space="preserve">WHITE SUAGR </t>
  </si>
  <si>
    <t xml:space="preserve">MILK CHOCOLATE </t>
  </si>
  <si>
    <t>BROWN SUGAR V</t>
  </si>
  <si>
    <t>SIRLOIN</t>
  </si>
  <si>
    <t xml:space="preserve">BLUE MUSHROOM BURGER </t>
  </si>
  <si>
    <t xml:space="preserve">SIRLOIN </t>
  </si>
  <si>
    <t xml:space="preserve">PRASWNS </t>
  </si>
  <si>
    <t xml:space="preserve">STUFFED CHICKEN </t>
  </si>
  <si>
    <t xml:space="preserve">SPINACH </t>
  </si>
  <si>
    <t xml:space="preserve">NUSHROOMS </t>
  </si>
  <si>
    <t xml:space="preserve">tbone </t>
  </si>
  <si>
    <t xml:space="preserve">apple crumble </t>
  </si>
  <si>
    <t>CINAAMON</t>
  </si>
  <si>
    <t xml:space="preserve">ICECREAM </t>
  </si>
  <si>
    <t>CHEESECAKE FINAL</t>
  </si>
  <si>
    <t xml:space="preserve">DIGESTIVE BISCUITS </t>
  </si>
  <si>
    <t>ribs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</si>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</sst>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83">
    <xf numFmtId="0" fontId="0" fillId="0" borderId="0" xfId="0"/>
    <xf numFmtId="164" fontId="0" fillId="0" borderId="0" xfId="0" applyNumberFormat="1"/>
    <xf numFmtId="164" fontId="0" fillId="0" borderId="4" xfId="0" applyNumberFormat="1" applyBorder="1"/>
    <xf numFmtId="164" fontId="0" fillId="0" borderId="5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164" fontId="0" fillId="0" borderId="8" xfId="1" applyNumberFormat="1" applyFont="1" applyBorder="1"/>
    <xf numFmtId="164" fontId="0" fillId="0" borderId="9" xfId="0" applyNumberFormat="1" applyBorder="1"/>
    <xf numFmtId="164" fontId="0" fillId="0" borderId="10" xfId="1" applyNumberFormat="1" applyFont="1" applyBorder="1"/>
    <xf numFmtId="0" fontId="0" fillId="0" borderId="4" xfId="0" applyBorder="1"/>
    <xf numFmtId="0" fontId="0" fillId="0" borderId="11" xfId="0" applyBorder="1"/>
    <xf numFmtId="0" fontId="0" fillId="0" borderId="12" xfId="0" applyBorder="1"/>
    <xf numFmtId="164" fontId="0" fillId="0" borderId="13" xfId="0" applyNumberFormat="1" applyBorder="1"/>
    <xf numFmtId="164" fontId="0" fillId="0" borderId="11" xfId="0" applyNumberFormat="1" applyBorder="1"/>
    <xf numFmtId="164" fontId="0" fillId="0" borderId="11" xfId="1" applyNumberFormat="1" applyFont="1" applyBorder="1"/>
    <xf numFmtId="164" fontId="0" fillId="0" borderId="12" xfId="0" applyNumberFormat="1" applyBorder="1"/>
    <xf numFmtId="164" fontId="0" fillId="0" borderId="14" xfId="0" applyNumberFormat="1" applyBorder="1"/>
    <xf numFmtId="164" fontId="0" fillId="0" borderId="15" xfId="0" applyNumberFormat="1" applyBorder="1"/>
    <xf numFmtId="164" fontId="0" fillId="0" borderId="16" xfId="0" applyNumberFormat="1" applyBorder="1"/>
    <xf numFmtId="164" fontId="0" fillId="0" borderId="17" xfId="0" applyNumberFormat="1" applyBorder="1"/>
    <xf numFmtId="164" fontId="0" fillId="0" borderId="18" xfId="0" applyNumberFormat="1" applyBorder="1"/>
    <xf numFmtId="164" fontId="0" fillId="0" borderId="19" xfId="0" applyNumberFormat="1" applyBorder="1"/>
    <xf numFmtId="164" fontId="0" fillId="0" borderId="20" xfId="1" applyNumberFormat="1" applyFont="1" applyBorder="1"/>
    <xf numFmtId="164" fontId="0" fillId="0" borderId="4" xfId="1" applyNumberFormat="1" applyFont="1" applyBorder="1"/>
    <xf numFmtId="164" fontId="0" fillId="0" borderId="24" xfId="2" applyNumberFormat="1" applyFont="1" applyBorder="1"/>
    <xf numFmtId="164" fontId="0" fillId="0" borderId="25" xfId="0" applyNumberFormat="1" applyBorder="1"/>
    <xf numFmtId="0" fontId="2" fillId="2" borderId="26" xfId="0" applyFont="1" applyFill="1" applyBorder="1"/>
    <xf numFmtId="0" fontId="3" fillId="2" borderId="26" xfId="3" applyFill="1" applyBorder="1"/>
    <xf numFmtId="0" fontId="3" fillId="2" borderId="26" xfId="3" applyFill="1" applyBorder="1" applyAlignment="1">
      <alignment horizontal="left" vertical="top"/>
    </xf>
    <xf numFmtId="164" fontId="0" fillId="0" borderId="12" xfId="1" applyNumberFormat="1" applyFont="1" applyBorder="1"/>
    <xf numFmtId="164" fontId="0" fillId="0" borderId="28" xfId="0" applyNumberFormat="1" applyBorder="1"/>
    <xf numFmtId="164" fontId="0" fillId="0" borderId="29" xfId="0" applyNumberFormat="1" applyBorder="1"/>
    <xf numFmtId="164" fontId="0" fillId="0" borderId="29" xfId="1" applyNumberFormat="1" applyFont="1" applyBorder="1"/>
    <xf numFmtId="164" fontId="0" fillId="0" borderId="30" xfId="1" applyNumberFormat="1" applyFont="1" applyBorder="1"/>
    <xf numFmtId="164" fontId="0" fillId="0" borderId="31" xfId="0" applyNumberFormat="1" applyBorder="1"/>
    <xf numFmtId="164" fontId="0" fillId="0" borderId="32" xfId="1" applyNumberFormat="1" applyFont="1" applyBorder="1"/>
    <xf numFmtId="164" fontId="0" fillId="0" borderId="33" xfId="1" applyNumberFormat="1" applyFont="1" applyFill="1" applyBorder="1"/>
    <xf numFmtId="164" fontId="4" fillId="0" borderId="0" xfId="0" applyNumberFormat="1" applyFont="1"/>
    <xf numFmtId="164" fontId="0" fillId="0" borderId="38" xfId="1" applyNumberFormat="1" applyFont="1" applyBorder="1"/>
    <xf numFmtId="0" fontId="0" fillId="0" borderId="31" xfId="0" applyBorder="1"/>
    <xf numFmtId="0" fontId="0" fillId="0" borderId="32" xfId="0" applyBorder="1"/>
    <xf numFmtId="164" fontId="0" fillId="0" borderId="39" xfId="0" applyNumberFormat="1" applyBorder="1"/>
    <xf numFmtId="164" fontId="0" fillId="0" borderId="40" xfId="0" applyNumberFormat="1" applyBorder="1"/>
    <xf numFmtId="164" fontId="0" fillId="0" borderId="10" xfId="0" applyNumberFormat="1" applyBorder="1"/>
    <xf numFmtId="164" fontId="0" fillId="0" borderId="9" xfId="1" applyNumberFormat="1" applyFont="1" applyBorder="1"/>
    <xf numFmtId="0" fontId="4" fillId="0" borderId="21" xfId="0" applyFont="1" applyBorder="1"/>
    <xf numFmtId="0" fontId="4" fillId="0" borderId="41" xfId="0" applyFont="1" applyBorder="1"/>
    <xf numFmtId="0" fontId="4" fillId="0" borderId="22" xfId="0" applyFont="1" applyBorder="1"/>
    <xf numFmtId="164" fontId="0" fillId="0" borderId="24" xfId="0" applyNumberFormat="1" applyBorder="1"/>
    <xf numFmtId="164" fontId="0" fillId="0" borderId="42" xfId="0" applyNumberFormat="1" applyBorder="1"/>
    <xf numFmtId="164" fontId="0" fillId="0" borderId="43" xfId="0" applyNumberFormat="1" applyBorder="1"/>
    <xf numFmtId="164" fontId="0" fillId="0" borderId="0" xfId="1" applyNumberFormat="1" applyFont="1" applyBorder="1"/>
    <xf numFmtId="0" fontId="3" fillId="0" borderId="12" xfId="3" applyBorder="1"/>
    <xf numFmtId="0" fontId="4" fillId="0" borderId="12" xfId="0" applyFont="1" applyBorder="1"/>
    <xf numFmtId="0" fontId="3" fillId="0" borderId="0" xfId="3"/>
    <xf numFmtId="0" fontId="3" fillId="0" borderId="26" xfId="3" applyBorder="1"/>
    <xf numFmtId="0" fontId="3" fillId="2" borderId="0" xfId="3" applyFill="1" applyBorder="1"/>
    <xf numFmtId="0" fontId="2" fillId="2" borderId="0" xfId="0" applyFont="1" applyFill="1"/>
    <xf numFmtId="0" fontId="3" fillId="2" borderId="27" xfId="3" applyFill="1" applyBorder="1"/>
    <xf numFmtId="164" fontId="0" fillId="0" borderId="44" xfId="0" applyNumberFormat="1" applyBorder="1"/>
    <xf numFmtId="164" fontId="0" fillId="0" borderId="45" xfId="0" applyNumberFormat="1" applyBorder="1"/>
    <xf numFmtId="164" fontId="0" fillId="0" borderId="15" xfId="1" applyNumberFormat="1" applyFont="1" applyBorder="1"/>
    <xf numFmtId="0" fontId="4" fillId="0" borderId="0" xfId="0" applyFont="1"/>
    <xf numFmtId="164" fontId="0" fillId="0" borderId="21" xfId="0" applyNumberFormat="1" applyBorder="1"/>
    <xf numFmtId="164" fontId="0" fillId="0" borderId="22" xfId="0" applyNumberFormat="1" applyBorder="1"/>
    <xf numFmtId="164" fontId="0" fillId="0" borderId="46" xfId="0" applyNumberFormat="1" applyBorder="1"/>
    <xf numFmtId="164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164" fontId="0" fillId="0" borderId="22" xfId="0" applyNumberFormat="1" applyBorder="1" applyAlignment="1">
      <alignment horizontal="center"/>
    </xf>
    <xf numFmtId="164" fontId="0" fillId="0" borderId="23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164" fontId="0" fillId="0" borderId="37" xfId="0" applyNumberFormat="1" applyBorder="1" applyAlignment="1">
      <alignment horizontal="center"/>
    </xf>
    <xf numFmtId="164" fontId="0" fillId="0" borderId="35" xfId="0" applyNumberFormat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64" fontId="0" fillId="0" borderId="36" xfId="0" applyNumberFormat="1" applyBorder="1" applyAlignment="1">
      <alignment horizontal="center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1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F8595-F316-4C03-9234-1C21A21757E3}">
  <dimension ref="A1:DE124"/>
  <sheetViews>
    <sheetView topLeftCell="AD6" zoomScale="93" zoomScaleNormal="93" workbookViewId="0">
      <selection activeCell="AV71" sqref="AV71"/>
    </sheetView>
  </sheetViews>
  <sheetFormatPr defaultRowHeight="14.4" x14ac:dyDescent="0.3"/>
  <cols>
    <col min="3" max="4" width="13.109375" customWidth="1"/>
    <col min="7" max="7" width="21.6640625" customWidth="1"/>
    <col min="8" max="8" width="21.109375" customWidth="1"/>
    <col min="14" max="14" width="18.33203125" customWidth="1"/>
    <col min="26" max="26" width="13.109375" customWidth="1"/>
    <col min="30" max="30" width="16.33203125" customWidth="1"/>
    <col min="32" max="32" width="16" customWidth="1"/>
    <col min="38" max="38" width="17.109375" customWidth="1"/>
    <col min="45" max="45" width="11.33203125" customWidth="1"/>
    <col min="50" max="50" width="19" customWidth="1"/>
    <col min="56" max="56" width="18.88671875" customWidth="1"/>
    <col min="62" max="62" width="14.109375" customWidth="1"/>
    <col min="68" max="68" width="11.6640625" customWidth="1"/>
    <col min="69" max="69" width="17.6640625" customWidth="1"/>
    <col min="74" max="74" width="13" customWidth="1"/>
    <col min="75" max="75" width="17.44140625" customWidth="1"/>
    <col min="80" max="80" width="18.88671875" customWidth="1"/>
    <col min="86" max="86" width="16.33203125" customWidth="1"/>
  </cols>
  <sheetData>
    <row r="1" spans="2:109" ht="15" thickBot="1" x14ac:dyDescent="0.3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2:109" ht="15" thickBot="1" x14ac:dyDescent="0.35">
      <c r="H2" s="69" t="s">
        <v>83</v>
      </c>
      <c r="I2" s="70"/>
      <c r="J2" s="70"/>
      <c r="K2" s="70"/>
      <c r="L2" s="71"/>
      <c r="M2" s="1"/>
      <c r="N2" s="69" t="s">
        <v>84</v>
      </c>
      <c r="O2" s="70"/>
      <c r="P2" s="70"/>
      <c r="Q2" s="70"/>
      <c r="R2" s="71"/>
      <c r="S2" s="1"/>
      <c r="T2" s="69" t="s">
        <v>85</v>
      </c>
      <c r="U2" s="70"/>
      <c r="V2" s="70"/>
      <c r="W2" s="70"/>
      <c r="X2" s="71"/>
      <c r="Y2" s="1"/>
      <c r="Z2" s="69" t="s">
        <v>86</v>
      </c>
      <c r="AA2" s="70"/>
      <c r="AB2" s="70"/>
      <c r="AC2" s="70"/>
      <c r="AD2" s="71"/>
      <c r="AE2" s="1"/>
      <c r="AF2" s="69" t="s">
        <v>87</v>
      </c>
      <c r="AG2" s="70"/>
      <c r="AH2" s="70"/>
      <c r="AI2" s="70"/>
      <c r="AJ2" s="71"/>
      <c r="AK2" s="1"/>
      <c r="AL2" s="69" t="s">
        <v>88</v>
      </c>
      <c r="AM2" s="70"/>
      <c r="AN2" s="70"/>
      <c r="AO2" s="70"/>
      <c r="AP2" s="71"/>
      <c r="AQ2" s="1"/>
      <c r="AR2" s="1"/>
      <c r="AS2" s="1"/>
      <c r="AT2" s="1"/>
      <c r="AU2" s="1"/>
      <c r="AV2" s="1"/>
      <c r="AW2" s="1"/>
      <c r="AX2" s="69" t="s">
        <v>88</v>
      </c>
      <c r="AY2" s="70"/>
      <c r="AZ2" s="70"/>
      <c r="BA2" s="70"/>
      <c r="BB2" s="71"/>
      <c r="BC2" s="1"/>
      <c r="BD2" s="69" t="s">
        <v>300</v>
      </c>
      <c r="BE2" s="70"/>
      <c r="BF2" s="70"/>
      <c r="BG2" s="70"/>
      <c r="BH2" s="71"/>
      <c r="BI2" s="1"/>
      <c r="BJ2" s="69" t="s">
        <v>214</v>
      </c>
      <c r="BK2" s="70"/>
      <c r="BL2" s="70"/>
      <c r="BM2" s="70"/>
      <c r="BN2" s="71"/>
      <c r="BP2" s="69" t="s">
        <v>211</v>
      </c>
      <c r="BQ2" s="70"/>
      <c r="BR2" s="70"/>
      <c r="BS2" s="70"/>
      <c r="BT2" s="71"/>
      <c r="BV2" s="69" t="s">
        <v>72</v>
      </c>
      <c r="BW2" s="70"/>
      <c r="BX2" s="70"/>
      <c r="BY2" s="70"/>
      <c r="BZ2" s="71"/>
      <c r="CB2" s="69" t="s">
        <v>212</v>
      </c>
      <c r="CC2" s="70"/>
      <c r="CD2" s="70"/>
      <c r="CE2" s="70"/>
      <c r="CF2" s="71"/>
      <c r="CH2" s="69" t="s">
        <v>219</v>
      </c>
      <c r="CI2" s="70"/>
      <c r="CJ2" s="70"/>
      <c r="CK2" s="70"/>
      <c r="CL2" s="71"/>
      <c r="CO2" s="69" t="s">
        <v>449</v>
      </c>
      <c r="CP2" s="70"/>
      <c r="CQ2" s="70"/>
      <c r="CR2" s="70"/>
      <c r="CS2" s="71"/>
      <c r="CU2" s="69" t="s">
        <v>445</v>
      </c>
      <c r="CV2" s="70"/>
      <c r="CW2" s="70"/>
      <c r="CX2" s="70"/>
      <c r="CY2" s="71"/>
      <c r="DA2" s="69" t="s">
        <v>451</v>
      </c>
      <c r="DB2" s="70"/>
      <c r="DC2" s="70"/>
      <c r="DD2" s="70"/>
      <c r="DE2" s="71"/>
    </row>
    <row r="3" spans="2:109" ht="15" thickBot="1" x14ac:dyDescent="0.35">
      <c r="C3" s="69" t="s">
        <v>413</v>
      </c>
      <c r="D3" s="70"/>
      <c r="E3" s="70"/>
      <c r="F3" s="70"/>
      <c r="G3" s="71"/>
      <c r="H3" s="2" t="s">
        <v>3</v>
      </c>
      <c r="I3" s="3" t="s">
        <v>4</v>
      </c>
      <c r="J3" s="3" t="s">
        <v>5</v>
      </c>
      <c r="K3" s="4" t="s">
        <v>6</v>
      </c>
      <c r="L3" s="5" t="s">
        <v>7</v>
      </c>
      <c r="M3" s="1"/>
      <c r="N3" s="2" t="s">
        <v>3</v>
      </c>
      <c r="O3" s="3" t="s">
        <v>4</v>
      </c>
      <c r="P3" s="3" t="s">
        <v>5</v>
      </c>
      <c r="Q3" s="4" t="s">
        <v>6</v>
      </c>
      <c r="R3" s="5" t="s">
        <v>7</v>
      </c>
      <c r="S3" s="1"/>
      <c r="T3" s="2" t="s">
        <v>3</v>
      </c>
      <c r="U3" s="3" t="s">
        <v>4</v>
      </c>
      <c r="V3" s="3" t="s">
        <v>5</v>
      </c>
      <c r="W3" s="4" t="s">
        <v>6</v>
      </c>
      <c r="X3" s="5" t="s">
        <v>7</v>
      </c>
      <c r="Y3" s="1"/>
      <c r="Z3" s="2" t="s">
        <v>3</v>
      </c>
      <c r="AA3" s="3" t="s">
        <v>4</v>
      </c>
      <c r="AB3" s="3" t="s">
        <v>5</v>
      </c>
      <c r="AC3" s="4" t="s">
        <v>6</v>
      </c>
      <c r="AD3" s="5" t="s">
        <v>7</v>
      </c>
      <c r="AE3" s="1"/>
      <c r="AF3" s="2" t="s">
        <v>3</v>
      </c>
      <c r="AG3" s="3" t="s">
        <v>4</v>
      </c>
      <c r="AH3" s="3" t="s">
        <v>5</v>
      </c>
      <c r="AI3" s="4" t="s">
        <v>6</v>
      </c>
      <c r="AJ3" s="5" t="s">
        <v>7</v>
      </c>
      <c r="AK3" s="1"/>
      <c r="AL3" s="2" t="s">
        <v>3</v>
      </c>
      <c r="AM3" s="3" t="s">
        <v>4</v>
      </c>
      <c r="AN3" s="3" t="s">
        <v>5</v>
      </c>
      <c r="AO3" s="4" t="s">
        <v>6</v>
      </c>
      <c r="AP3" s="5" t="s">
        <v>7</v>
      </c>
      <c r="AQ3" s="1" t="s">
        <v>495</v>
      </c>
      <c r="AR3" s="1" t="s">
        <v>496</v>
      </c>
      <c r="AS3" s="1" t="s">
        <v>497</v>
      </c>
      <c r="AT3" s="1" t="s">
        <v>89</v>
      </c>
      <c r="AU3" s="1"/>
      <c r="AV3" s="1"/>
      <c r="AW3" s="1"/>
      <c r="AX3" s="2" t="s">
        <v>3</v>
      </c>
      <c r="AY3" s="3" t="s">
        <v>4</v>
      </c>
      <c r="AZ3" s="3" t="s">
        <v>5</v>
      </c>
      <c r="BA3" s="4" t="s">
        <v>6</v>
      </c>
      <c r="BB3" s="5" t="s">
        <v>7</v>
      </c>
      <c r="BC3" s="1"/>
      <c r="BD3" s="2" t="s">
        <v>3</v>
      </c>
      <c r="BE3" s="3" t="s">
        <v>4</v>
      </c>
      <c r="BF3" s="3" t="s">
        <v>5</v>
      </c>
      <c r="BG3" s="4" t="s">
        <v>6</v>
      </c>
      <c r="BH3" s="5" t="s">
        <v>7</v>
      </c>
      <c r="BI3" s="1"/>
      <c r="BJ3" s="2" t="s">
        <v>3</v>
      </c>
      <c r="BK3" s="3" t="s">
        <v>4</v>
      </c>
      <c r="BL3" s="3" t="s">
        <v>5</v>
      </c>
      <c r="BM3" s="4" t="s">
        <v>6</v>
      </c>
      <c r="BN3" s="5" t="s">
        <v>7</v>
      </c>
      <c r="BP3" s="2" t="s">
        <v>3</v>
      </c>
      <c r="BQ3" s="3" t="s">
        <v>4</v>
      </c>
      <c r="BR3" s="3" t="s">
        <v>5</v>
      </c>
      <c r="BS3" s="4" t="s">
        <v>6</v>
      </c>
      <c r="BT3" s="5" t="s">
        <v>7</v>
      </c>
      <c r="BV3" s="2" t="s">
        <v>3</v>
      </c>
      <c r="BW3" s="3" t="s">
        <v>4</v>
      </c>
      <c r="BX3" s="3" t="s">
        <v>5</v>
      </c>
      <c r="BY3" s="4" t="s">
        <v>6</v>
      </c>
      <c r="BZ3" s="5" t="s">
        <v>7</v>
      </c>
      <c r="CB3" s="2" t="s">
        <v>3</v>
      </c>
      <c r="CC3" s="3" t="s">
        <v>4</v>
      </c>
      <c r="CD3" s="3" t="s">
        <v>5</v>
      </c>
      <c r="CE3" s="4" t="s">
        <v>6</v>
      </c>
      <c r="CF3" s="5" t="s">
        <v>7</v>
      </c>
      <c r="CH3" s="2" t="s">
        <v>3</v>
      </c>
      <c r="CI3" s="3" t="s">
        <v>4</v>
      </c>
      <c r="CJ3" s="3" t="s">
        <v>5</v>
      </c>
      <c r="CK3" s="4" t="s">
        <v>6</v>
      </c>
      <c r="CL3" s="5" t="s">
        <v>7</v>
      </c>
      <c r="CO3" s="2" t="s">
        <v>3</v>
      </c>
      <c r="CP3" s="3" t="s">
        <v>4</v>
      </c>
      <c r="CQ3" s="3" t="s">
        <v>5</v>
      </c>
      <c r="CR3" s="4" t="s">
        <v>6</v>
      </c>
      <c r="CS3" s="5" t="s">
        <v>7</v>
      </c>
      <c r="CU3" s="45" t="s">
        <v>3</v>
      </c>
      <c r="CV3" s="10" t="s">
        <v>4</v>
      </c>
      <c r="CW3" s="10" t="s">
        <v>5</v>
      </c>
      <c r="CX3" s="10" t="s">
        <v>6</v>
      </c>
      <c r="CY3" s="46" t="s">
        <v>7</v>
      </c>
      <c r="DA3" s="45" t="s">
        <v>3</v>
      </c>
      <c r="DB3" s="10" t="s">
        <v>4</v>
      </c>
      <c r="DC3" s="10" t="s">
        <v>5</v>
      </c>
      <c r="DD3" s="10" t="s">
        <v>6</v>
      </c>
      <c r="DE3" s="46" t="s">
        <v>7</v>
      </c>
    </row>
    <row r="4" spans="2:109" ht="15" thickBot="1" x14ac:dyDescent="0.35">
      <c r="C4" s="2" t="s">
        <v>3</v>
      </c>
      <c r="D4" s="3" t="s">
        <v>4</v>
      </c>
      <c r="E4" s="3" t="s">
        <v>5</v>
      </c>
      <c r="F4" s="4" t="s">
        <v>6</v>
      </c>
      <c r="G4" s="5" t="s">
        <v>7</v>
      </c>
      <c r="H4" s="7" t="s">
        <v>90</v>
      </c>
      <c r="I4" s="8" t="s">
        <v>11</v>
      </c>
      <c r="J4" s="9">
        <v>0.15</v>
      </c>
      <c r="K4" s="10">
        <v>0.12</v>
      </c>
      <c r="L4" s="11">
        <f t="shared" ref="L4:L18" si="0">+K4*J4</f>
        <v>1.7999999999999999E-2</v>
      </c>
      <c r="M4" s="1"/>
      <c r="N4" s="7" t="s">
        <v>91</v>
      </c>
      <c r="O4" s="8" t="s">
        <v>34</v>
      </c>
      <c r="P4" s="9">
        <v>1.4999999999999999E-2</v>
      </c>
      <c r="Q4" s="10">
        <v>4</v>
      </c>
      <c r="R4" s="11">
        <f t="shared" ref="R4:R18" si="1">+Q4*P4</f>
        <v>0.06</v>
      </c>
      <c r="S4" s="1"/>
      <c r="T4" s="7" t="s">
        <v>22</v>
      </c>
      <c r="U4" s="8" t="s">
        <v>34</v>
      </c>
      <c r="V4" s="9">
        <v>1</v>
      </c>
      <c r="W4" s="10">
        <v>4</v>
      </c>
      <c r="X4" s="11">
        <f t="shared" ref="X4:X18" si="2">+W4*V4</f>
        <v>4</v>
      </c>
      <c r="Y4" s="1"/>
      <c r="Z4" s="7" t="s">
        <v>22</v>
      </c>
      <c r="AA4" s="8" t="s">
        <v>34</v>
      </c>
      <c r="AB4" s="9">
        <v>1</v>
      </c>
      <c r="AC4" s="10">
        <v>11</v>
      </c>
      <c r="AD4" s="11">
        <f t="shared" ref="AD4:AD18" si="3">+AC4*AB4</f>
        <v>11</v>
      </c>
      <c r="AE4" s="1"/>
      <c r="AF4" s="7" t="s">
        <v>22</v>
      </c>
      <c r="AG4" s="8" t="s">
        <v>34</v>
      </c>
      <c r="AH4" s="9">
        <v>1</v>
      </c>
      <c r="AI4" s="10">
        <v>5</v>
      </c>
      <c r="AJ4" s="11">
        <f t="shared" ref="AJ4:AJ18" si="4">+AI4*AH4</f>
        <v>5</v>
      </c>
      <c r="AK4" s="1"/>
      <c r="AL4" s="7" t="s">
        <v>22</v>
      </c>
      <c r="AM4" s="8" t="s">
        <v>34</v>
      </c>
      <c r="AN4" s="9">
        <v>1.2</v>
      </c>
      <c r="AO4" s="10">
        <v>9</v>
      </c>
      <c r="AP4" s="11">
        <f t="shared" ref="AP4:AP12" si="5">+AO4*AN4</f>
        <v>10.799999999999999</v>
      </c>
      <c r="AQ4" s="1">
        <f>AP4/384</f>
        <v>2.8124999999999997E-2</v>
      </c>
      <c r="AR4" s="1">
        <f>AP4/192</f>
        <v>5.6249999999999994E-2</v>
      </c>
      <c r="AS4" s="1">
        <f>AP4/768</f>
        <v>1.4062499999999999E-2</v>
      </c>
      <c r="AT4" s="1" t="s">
        <v>92</v>
      </c>
      <c r="AU4" s="1"/>
      <c r="AV4" s="1"/>
      <c r="AW4" s="1"/>
      <c r="AX4" s="7" t="s">
        <v>22</v>
      </c>
      <c r="AY4" s="8" t="s">
        <v>34</v>
      </c>
      <c r="AZ4" s="9">
        <v>1</v>
      </c>
      <c r="BA4" s="10">
        <v>9</v>
      </c>
      <c r="BB4" s="11">
        <f t="shared" ref="BB4:BB18" si="6">+BA4*AZ4</f>
        <v>9</v>
      </c>
      <c r="BC4" s="1"/>
      <c r="BD4" s="7" t="s">
        <v>88</v>
      </c>
      <c r="BE4" s="8" t="s">
        <v>34</v>
      </c>
      <c r="BF4" s="9">
        <v>3.73</v>
      </c>
      <c r="BG4" s="10">
        <v>1</v>
      </c>
      <c r="BH4" s="11">
        <f t="shared" ref="BH4:BH18" si="7">+BG4*BF4</f>
        <v>3.73</v>
      </c>
      <c r="BI4" s="1"/>
      <c r="BJ4" s="7" t="s">
        <v>22</v>
      </c>
      <c r="BK4" s="8" t="s">
        <v>34</v>
      </c>
      <c r="BL4" s="9">
        <v>1</v>
      </c>
      <c r="BM4" s="10">
        <v>1</v>
      </c>
      <c r="BN4" s="11">
        <f t="shared" ref="BN4:BN18" si="8">+BM4*BL4</f>
        <v>1</v>
      </c>
      <c r="BP4" s="7" t="s">
        <v>22</v>
      </c>
      <c r="BQ4" s="8" t="s">
        <v>34</v>
      </c>
      <c r="BR4" s="9">
        <v>1</v>
      </c>
      <c r="BS4" s="10">
        <v>1</v>
      </c>
      <c r="BT4" s="11">
        <f t="shared" ref="BT4:BT18" si="9">+BS4*BR4</f>
        <v>1</v>
      </c>
      <c r="BV4" s="7" t="s">
        <v>22</v>
      </c>
      <c r="BW4" s="8" t="s">
        <v>34</v>
      </c>
      <c r="BX4" s="9">
        <v>1</v>
      </c>
      <c r="BY4" s="10">
        <v>1</v>
      </c>
      <c r="BZ4" s="11">
        <f t="shared" ref="BZ4:BZ18" si="10">+BY4*BX4</f>
        <v>1</v>
      </c>
      <c r="CB4" s="7" t="s">
        <v>203</v>
      </c>
      <c r="CC4" s="8" t="s">
        <v>34</v>
      </c>
      <c r="CD4" s="9">
        <v>13.5</v>
      </c>
      <c r="CE4" s="10">
        <v>1.6</v>
      </c>
      <c r="CF4" s="11">
        <f t="shared" ref="CF4:CF18" si="11">+CE4*CD4</f>
        <v>21.6</v>
      </c>
      <c r="CH4" s="15" t="s">
        <v>134</v>
      </c>
      <c r="CI4" s="16" t="s">
        <v>128</v>
      </c>
      <c r="CJ4" s="17">
        <v>5.34</v>
      </c>
      <c r="CK4" s="18">
        <v>1.6</v>
      </c>
      <c r="CL4" s="11">
        <f t="shared" ref="CL4:CL18" si="12">+CK4*CJ4</f>
        <v>8.5440000000000005</v>
      </c>
      <c r="CO4" s="7" t="s">
        <v>22</v>
      </c>
      <c r="CP4" s="8" t="s">
        <v>34</v>
      </c>
      <c r="CQ4" s="9">
        <v>1</v>
      </c>
      <c r="CR4" s="10">
        <v>1</v>
      </c>
      <c r="CS4" s="11">
        <f t="shared" ref="CS4:CS18" si="13">+CR4*CQ4</f>
        <v>1</v>
      </c>
      <c r="CU4" s="37" t="s">
        <v>446</v>
      </c>
      <c r="CV4" s="18" t="s">
        <v>11</v>
      </c>
      <c r="CW4" s="32">
        <v>44</v>
      </c>
      <c r="CX4" s="18">
        <v>0.35</v>
      </c>
      <c r="CY4" s="11">
        <f t="shared" ref="CY4:CY18" si="14">+CX4*CW4</f>
        <v>15.399999999999999</v>
      </c>
      <c r="DA4" s="37" t="s">
        <v>450</v>
      </c>
      <c r="DB4" s="18" t="s">
        <v>11</v>
      </c>
      <c r="DC4" s="32">
        <v>44</v>
      </c>
      <c r="DD4" s="18">
        <v>0.08</v>
      </c>
      <c r="DE4" s="11">
        <f t="shared" ref="DE4:DE18" si="15">+DD4*DC4</f>
        <v>3.52</v>
      </c>
    </row>
    <row r="5" spans="2:109" x14ac:dyDescent="0.3">
      <c r="C5" s="7" t="s">
        <v>90</v>
      </c>
      <c r="D5" s="8" t="s">
        <v>11</v>
      </c>
      <c r="E5" s="9">
        <v>0.15</v>
      </c>
      <c r="F5" s="10">
        <v>0.25</v>
      </c>
      <c r="G5" s="11">
        <f t="shared" ref="G5:G19" si="16">+F5*E5</f>
        <v>3.7499999999999999E-2</v>
      </c>
      <c r="H5" s="15" t="s">
        <v>33</v>
      </c>
      <c r="I5" s="16" t="s">
        <v>11</v>
      </c>
      <c r="J5" s="17">
        <v>1</v>
      </c>
      <c r="K5" s="18">
        <v>0.2</v>
      </c>
      <c r="L5" s="11">
        <f t="shared" si="0"/>
        <v>0.2</v>
      </c>
      <c r="M5" s="1"/>
      <c r="N5" s="15" t="s">
        <v>14</v>
      </c>
      <c r="O5" s="16"/>
      <c r="P5" s="17">
        <v>1</v>
      </c>
      <c r="Q5" s="18">
        <v>0.2</v>
      </c>
      <c r="R5" s="11">
        <f t="shared" si="1"/>
        <v>0.2</v>
      </c>
      <c r="S5" s="1"/>
      <c r="T5" s="15" t="s">
        <v>24</v>
      </c>
      <c r="U5" s="16"/>
      <c r="V5" s="17">
        <v>0.02</v>
      </c>
      <c r="W5" s="18">
        <v>0.08</v>
      </c>
      <c r="X5" s="11">
        <f t="shared" si="2"/>
        <v>1.6000000000000001E-3</v>
      </c>
      <c r="Y5" s="1"/>
      <c r="Z5" s="15" t="s">
        <v>24</v>
      </c>
      <c r="AA5" s="16"/>
      <c r="AB5" s="17"/>
      <c r="AC5" s="18">
        <v>0.18</v>
      </c>
      <c r="AD5" s="11">
        <f t="shared" si="3"/>
        <v>0</v>
      </c>
      <c r="AE5" s="1"/>
      <c r="AF5" s="15" t="s">
        <v>24</v>
      </c>
      <c r="AG5" s="16"/>
      <c r="AH5" s="17">
        <v>0.02</v>
      </c>
      <c r="AI5" s="18">
        <v>0.11</v>
      </c>
      <c r="AJ5" s="11">
        <f t="shared" si="4"/>
        <v>2.2000000000000001E-3</v>
      </c>
      <c r="AK5" s="1"/>
      <c r="AL5" s="15" t="s">
        <v>19</v>
      </c>
      <c r="AM5" s="16"/>
      <c r="AN5" s="17">
        <v>1.4999999999999999E-2</v>
      </c>
      <c r="AO5" s="18">
        <v>9</v>
      </c>
      <c r="AP5" s="11">
        <f t="shared" si="5"/>
        <v>0.13500000000000001</v>
      </c>
      <c r="AQ5" s="1">
        <f t="shared" ref="AQ5:AQ12" si="17">AP5/384</f>
        <v>3.5156250000000004E-4</v>
      </c>
      <c r="AR5" s="1">
        <f t="shared" ref="AR5:AR12" si="18">AP5/192</f>
        <v>7.0312500000000008E-4</v>
      </c>
      <c r="AS5" s="1">
        <f t="shared" ref="AS5:AS12" si="19">AP5/768</f>
        <v>1.7578125000000002E-4</v>
      </c>
      <c r="AT5" s="1" t="s">
        <v>93</v>
      </c>
      <c r="AU5" s="1"/>
      <c r="AV5" s="1"/>
      <c r="AW5" s="1"/>
      <c r="AX5" s="15" t="s">
        <v>19</v>
      </c>
      <c r="AY5" s="16"/>
      <c r="AZ5" s="17">
        <v>1.4999999999999999E-2</v>
      </c>
      <c r="BA5" s="18">
        <v>8</v>
      </c>
      <c r="BB5" s="11">
        <f t="shared" si="6"/>
        <v>0.12</v>
      </c>
      <c r="BC5" s="1"/>
      <c r="BD5" s="15" t="s">
        <v>298</v>
      </c>
      <c r="BE5" s="16"/>
      <c r="BF5" s="17">
        <v>0.25</v>
      </c>
      <c r="BG5" s="18">
        <v>1.54</v>
      </c>
      <c r="BH5" s="11">
        <f t="shared" si="7"/>
        <v>0.38500000000000001</v>
      </c>
      <c r="BI5" s="1"/>
      <c r="BJ5" s="15" t="s">
        <v>10</v>
      </c>
      <c r="BK5" s="16"/>
      <c r="BL5" s="17">
        <v>8.4700000000000006</v>
      </c>
      <c r="BM5" s="18">
        <v>0.76</v>
      </c>
      <c r="BN5" s="11">
        <f t="shared" si="8"/>
        <v>6.4372000000000007</v>
      </c>
      <c r="BP5" s="15" t="s">
        <v>10</v>
      </c>
      <c r="BQ5" s="16"/>
      <c r="BR5" s="17">
        <v>8.4700000000000006</v>
      </c>
      <c r="BS5" s="18">
        <v>0.76</v>
      </c>
      <c r="BT5" s="11">
        <f t="shared" si="9"/>
        <v>6.4372000000000007</v>
      </c>
      <c r="BV5" s="15" t="s">
        <v>10</v>
      </c>
      <c r="BW5" s="16"/>
      <c r="BX5" s="17">
        <v>8.4700000000000006</v>
      </c>
      <c r="BY5" s="18">
        <v>0.76</v>
      </c>
      <c r="BZ5" s="11">
        <f t="shared" si="10"/>
        <v>6.4372000000000007</v>
      </c>
      <c r="CB5" s="15" t="s">
        <v>182</v>
      </c>
      <c r="CC5" s="16"/>
      <c r="CD5" s="17">
        <v>11</v>
      </c>
      <c r="CE5" s="18">
        <v>0.9</v>
      </c>
      <c r="CF5" s="11">
        <f t="shared" si="11"/>
        <v>9.9</v>
      </c>
      <c r="CH5" s="15" t="s">
        <v>144</v>
      </c>
      <c r="CI5" s="16" t="s">
        <v>11</v>
      </c>
      <c r="CJ5" s="17">
        <v>11</v>
      </c>
      <c r="CK5" s="18">
        <v>0.8</v>
      </c>
      <c r="CL5" s="11">
        <f t="shared" si="12"/>
        <v>8.8000000000000007</v>
      </c>
      <c r="CO5" s="15" t="s">
        <v>10</v>
      </c>
      <c r="CP5" s="16"/>
      <c r="CQ5" s="17">
        <v>8.4700000000000006</v>
      </c>
      <c r="CR5" s="18">
        <v>0.76</v>
      </c>
      <c r="CS5" s="11">
        <f t="shared" si="13"/>
        <v>6.4372000000000007</v>
      </c>
      <c r="CU5" s="37" t="s">
        <v>181</v>
      </c>
      <c r="CV5" s="18"/>
      <c r="CW5" s="32">
        <v>9.1999999999999993</v>
      </c>
      <c r="CX5" s="18">
        <v>0.2</v>
      </c>
      <c r="CY5" s="11">
        <f t="shared" si="14"/>
        <v>1.8399999999999999</v>
      </c>
      <c r="DA5" s="37"/>
      <c r="DB5" s="18"/>
      <c r="DC5" s="32"/>
      <c r="DD5" s="18"/>
      <c r="DE5" s="11">
        <f t="shared" si="15"/>
        <v>0</v>
      </c>
    </row>
    <row r="6" spans="2:109" x14ac:dyDescent="0.3">
      <c r="C6" s="15" t="s">
        <v>414</v>
      </c>
      <c r="D6" s="16" t="s">
        <v>11</v>
      </c>
      <c r="E6" s="17">
        <v>1.52</v>
      </c>
      <c r="F6" s="18">
        <v>0.25</v>
      </c>
      <c r="G6" s="11">
        <f t="shared" si="16"/>
        <v>0.38</v>
      </c>
      <c r="H6" s="15" t="s">
        <v>8</v>
      </c>
      <c r="I6" s="16" t="s">
        <v>11</v>
      </c>
      <c r="J6" s="17">
        <v>8.6999999999999993</v>
      </c>
      <c r="K6" s="18">
        <v>0.1</v>
      </c>
      <c r="L6" s="11">
        <f t="shared" si="0"/>
        <v>0.87</v>
      </c>
      <c r="M6" s="1"/>
      <c r="N6" s="15" t="s">
        <v>94</v>
      </c>
      <c r="O6" s="16"/>
      <c r="P6" s="17">
        <v>10.74</v>
      </c>
      <c r="Q6" s="18">
        <v>0.2</v>
      </c>
      <c r="R6" s="11">
        <f t="shared" si="1"/>
        <v>2.1480000000000001</v>
      </c>
      <c r="S6" s="1"/>
      <c r="T6" s="15" t="s">
        <v>95</v>
      </c>
      <c r="U6" s="16"/>
      <c r="V6" s="17"/>
      <c r="W6" s="18">
        <v>0.02</v>
      </c>
      <c r="X6" s="11">
        <f t="shared" si="2"/>
        <v>0</v>
      </c>
      <c r="Y6" s="1"/>
      <c r="Z6" s="15" t="s">
        <v>42</v>
      </c>
      <c r="AA6" s="16"/>
      <c r="AB6" s="17">
        <v>1.92</v>
      </c>
      <c r="AC6" s="18">
        <v>0.16</v>
      </c>
      <c r="AD6" s="11">
        <f t="shared" si="3"/>
        <v>0.30719999999999997</v>
      </c>
      <c r="AE6" s="1"/>
      <c r="AF6" s="15" t="s">
        <v>96</v>
      </c>
      <c r="AG6" s="16"/>
      <c r="AH6" s="17">
        <v>1.92</v>
      </c>
      <c r="AI6" s="18">
        <v>5.0000000000000001E-3</v>
      </c>
      <c r="AJ6" s="11">
        <f t="shared" si="4"/>
        <v>9.5999999999999992E-3</v>
      </c>
      <c r="AK6" s="1"/>
      <c r="AL6" s="15" t="s">
        <v>35</v>
      </c>
      <c r="AM6" s="16"/>
      <c r="AN6" s="17">
        <v>1</v>
      </c>
      <c r="AO6" s="18">
        <v>1.3049999999999999</v>
      </c>
      <c r="AP6" s="11">
        <f t="shared" si="5"/>
        <v>1.3049999999999999</v>
      </c>
      <c r="AQ6" s="1">
        <f t="shared" si="17"/>
        <v>3.3984375E-3</v>
      </c>
      <c r="AR6" s="1">
        <f t="shared" si="18"/>
        <v>6.796875E-3</v>
      </c>
      <c r="AS6" s="1">
        <f t="shared" si="19"/>
        <v>1.69921875E-3</v>
      </c>
      <c r="AT6" s="1" t="s">
        <v>97</v>
      </c>
      <c r="AU6" s="1"/>
      <c r="AV6" s="1"/>
      <c r="AW6" s="1"/>
      <c r="AX6" s="15" t="s">
        <v>35</v>
      </c>
      <c r="AY6" s="16"/>
      <c r="AZ6" s="17">
        <v>1</v>
      </c>
      <c r="BA6" s="18">
        <v>1.3049999999999999</v>
      </c>
      <c r="BB6" s="11">
        <f t="shared" si="6"/>
        <v>1.3049999999999999</v>
      </c>
      <c r="BC6" s="1"/>
      <c r="BD6" s="15" t="s">
        <v>299</v>
      </c>
      <c r="BE6" s="16"/>
      <c r="BF6" s="17">
        <v>0.5</v>
      </c>
      <c r="BG6" s="18">
        <v>2.2730000000000001</v>
      </c>
      <c r="BH6" s="11">
        <f t="shared" si="7"/>
        <v>1.1365000000000001</v>
      </c>
      <c r="BI6" s="1"/>
      <c r="BJ6" s="15" t="s">
        <v>24</v>
      </c>
      <c r="BK6" s="16"/>
      <c r="BL6" s="17">
        <v>0.2</v>
      </c>
      <c r="BM6" s="18">
        <v>2.5000000000000001E-2</v>
      </c>
      <c r="BN6" s="11">
        <f t="shared" si="8"/>
        <v>5.000000000000001E-3</v>
      </c>
      <c r="BP6" s="15" t="s">
        <v>24</v>
      </c>
      <c r="BQ6" s="16"/>
      <c r="BR6" s="17">
        <v>0.2</v>
      </c>
      <c r="BS6" s="18">
        <v>2.5000000000000001E-2</v>
      </c>
      <c r="BT6" s="11">
        <f t="shared" si="9"/>
        <v>5.000000000000001E-3</v>
      </c>
      <c r="BV6" s="15" t="s">
        <v>24</v>
      </c>
      <c r="BW6" s="16"/>
      <c r="BX6" s="17">
        <v>0.2</v>
      </c>
      <c r="BY6" s="18">
        <v>2.5000000000000001E-2</v>
      </c>
      <c r="BZ6" s="11">
        <f t="shared" si="10"/>
        <v>5.000000000000001E-3</v>
      </c>
      <c r="CB6" s="15" t="s">
        <v>24</v>
      </c>
      <c r="CC6" s="16"/>
      <c r="CD6" s="17">
        <v>0.2</v>
      </c>
      <c r="CE6" s="18">
        <v>2.5000000000000001E-2</v>
      </c>
      <c r="CF6" s="11">
        <f t="shared" si="11"/>
        <v>5.000000000000001E-3</v>
      </c>
      <c r="CH6" s="15" t="s">
        <v>158</v>
      </c>
      <c r="CI6" s="16"/>
      <c r="CJ6" s="17">
        <v>1</v>
      </c>
      <c r="CK6" s="18">
        <v>0.6</v>
      </c>
      <c r="CL6" s="11">
        <f t="shared" si="12"/>
        <v>0.6</v>
      </c>
      <c r="CO6" s="15" t="s">
        <v>24</v>
      </c>
      <c r="CP6" s="16"/>
      <c r="CQ6" s="17">
        <v>0.2</v>
      </c>
      <c r="CR6" s="18">
        <v>2.5000000000000001E-2</v>
      </c>
      <c r="CS6" s="11">
        <f t="shared" si="13"/>
        <v>5.000000000000001E-3</v>
      </c>
      <c r="CU6" s="37" t="s">
        <v>447</v>
      </c>
      <c r="CV6" s="18"/>
      <c r="CW6" s="32">
        <v>1</v>
      </c>
      <c r="CX6" s="18">
        <v>0.01</v>
      </c>
      <c r="CY6" s="11">
        <f t="shared" si="14"/>
        <v>0.01</v>
      </c>
      <c r="DA6" s="37" t="s">
        <v>452</v>
      </c>
      <c r="DB6" s="18"/>
      <c r="DC6" s="32">
        <v>8.4700000000000006</v>
      </c>
      <c r="DD6" s="18">
        <v>0.1</v>
      </c>
      <c r="DE6" s="11">
        <f t="shared" si="15"/>
        <v>0.84700000000000009</v>
      </c>
    </row>
    <row r="7" spans="2:109" x14ac:dyDescent="0.3">
      <c r="C7" s="15" t="s">
        <v>8</v>
      </c>
      <c r="D7" s="16" t="s">
        <v>11</v>
      </c>
      <c r="E7" s="17" t="e">
        <f>#REF!</f>
        <v>#REF!</v>
      </c>
      <c r="F7" s="18">
        <v>0.25</v>
      </c>
      <c r="G7" s="11" t="e">
        <f t="shared" si="16"/>
        <v>#REF!</v>
      </c>
      <c r="H7" s="15" t="s">
        <v>39</v>
      </c>
      <c r="I7" s="16" t="s">
        <v>11</v>
      </c>
      <c r="J7" s="17">
        <v>8</v>
      </c>
      <c r="K7" s="18">
        <v>0.1</v>
      </c>
      <c r="L7" s="11">
        <f t="shared" si="0"/>
        <v>0.8</v>
      </c>
      <c r="M7" s="1"/>
      <c r="N7" s="15" t="s">
        <v>8</v>
      </c>
      <c r="O7" s="16"/>
      <c r="P7" s="17">
        <v>8.6999999999999993</v>
      </c>
      <c r="Q7" s="18">
        <v>0.1</v>
      </c>
      <c r="R7" s="11">
        <f t="shared" si="1"/>
        <v>0.87</v>
      </c>
      <c r="S7" s="1"/>
      <c r="T7" s="15" t="s">
        <v>98</v>
      </c>
      <c r="U7" s="16" t="s">
        <v>44</v>
      </c>
      <c r="V7" s="17">
        <v>1.5</v>
      </c>
      <c r="W7" s="18">
        <v>0.05</v>
      </c>
      <c r="X7" s="11">
        <f t="shared" si="2"/>
        <v>7.5000000000000011E-2</v>
      </c>
      <c r="Y7" s="1"/>
      <c r="Z7" s="15"/>
      <c r="AA7" s="16"/>
      <c r="AB7" s="17"/>
      <c r="AC7" s="18"/>
      <c r="AD7" s="11">
        <f t="shared" si="3"/>
        <v>0</v>
      </c>
      <c r="AE7" s="1"/>
      <c r="AF7" s="15" t="s">
        <v>99</v>
      </c>
      <c r="AG7" s="16"/>
      <c r="AH7" s="17">
        <v>1</v>
      </c>
      <c r="AI7" s="18">
        <v>0.75</v>
      </c>
      <c r="AJ7" s="11">
        <f t="shared" si="4"/>
        <v>0.75</v>
      </c>
      <c r="AK7" s="1"/>
      <c r="AL7" s="15" t="s">
        <v>100</v>
      </c>
      <c r="AM7" s="16"/>
      <c r="AN7" s="17">
        <v>1.92</v>
      </c>
      <c r="AO7" s="18">
        <v>0.36</v>
      </c>
      <c r="AP7" s="11">
        <f t="shared" si="5"/>
        <v>0.69119999999999993</v>
      </c>
      <c r="AQ7" s="1">
        <f t="shared" si="17"/>
        <v>1.7999999999999997E-3</v>
      </c>
      <c r="AR7" s="1">
        <f t="shared" si="18"/>
        <v>3.5999999999999995E-3</v>
      </c>
      <c r="AS7" s="1">
        <f t="shared" si="19"/>
        <v>8.9999999999999987E-4</v>
      </c>
      <c r="AT7" s="1" t="s">
        <v>101</v>
      </c>
      <c r="AU7" s="1"/>
      <c r="AV7" s="1"/>
      <c r="AW7" s="1"/>
      <c r="AX7" s="15" t="s">
        <v>100</v>
      </c>
      <c r="AY7" s="16"/>
      <c r="AZ7" s="17">
        <v>1.92</v>
      </c>
      <c r="BA7" s="18">
        <v>0.36</v>
      </c>
      <c r="BB7" s="11">
        <f t="shared" si="6"/>
        <v>0.69119999999999993</v>
      </c>
      <c r="BC7" s="1"/>
      <c r="BD7" s="15"/>
      <c r="BE7" s="16"/>
      <c r="BF7" s="17"/>
      <c r="BG7" s="18"/>
      <c r="BH7" s="11"/>
      <c r="BI7" s="1"/>
      <c r="BJ7" s="15" t="s">
        <v>210</v>
      </c>
      <c r="BK7" s="16"/>
      <c r="BL7" s="17">
        <v>4.5460000000000003</v>
      </c>
      <c r="BM7" s="18">
        <v>1</v>
      </c>
      <c r="BN7" s="11">
        <f t="shared" si="8"/>
        <v>4.5460000000000003</v>
      </c>
      <c r="BP7" s="15" t="s">
        <v>216</v>
      </c>
      <c r="BQ7" s="16"/>
      <c r="BR7" s="17">
        <v>1.18</v>
      </c>
      <c r="BS7" s="18">
        <v>20</v>
      </c>
      <c r="BT7" s="11">
        <f t="shared" si="9"/>
        <v>23.599999999999998</v>
      </c>
      <c r="BV7" s="15" t="s">
        <v>224</v>
      </c>
      <c r="BW7" s="16"/>
      <c r="BX7" s="17">
        <v>1.36</v>
      </c>
      <c r="BY7" s="18">
        <v>20</v>
      </c>
      <c r="BZ7" s="11">
        <f>+BY7*BX7</f>
        <v>27.200000000000003</v>
      </c>
      <c r="CB7" s="19" t="s">
        <v>181</v>
      </c>
      <c r="CC7" s="20" t="s">
        <v>38</v>
      </c>
      <c r="CD7" s="20">
        <v>9.1999999999999993</v>
      </c>
      <c r="CE7" s="18">
        <v>0.5</v>
      </c>
      <c r="CF7" s="11">
        <f t="shared" si="11"/>
        <v>4.5999999999999996</v>
      </c>
      <c r="CH7" s="19" t="s">
        <v>45</v>
      </c>
      <c r="CI7" s="20" t="s">
        <v>38</v>
      </c>
      <c r="CJ7" s="20">
        <v>1</v>
      </c>
      <c r="CK7" s="18">
        <v>0.12</v>
      </c>
      <c r="CL7" s="11">
        <f t="shared" si="12"/>
        <v>0.12</v>
      </c>
      <c r="CO7" s="15" t="s">
        <v>216</v>
      </c>
      <c r="CP7" s="16"/>
      <c r="CQ7" s="17">
        <v>1.48</v>
      </c>
      <c r="CR7" s="18">
        <v>20</v>
      </c>
      <c r="CS7" s="11">
        <f t="shared" si="13"/>
        <v>29.6</v>
      </c>
      <c r="CU7" s="37" t="s">
        <v>448</v>
      </c>
      <c r="CV7" s="18"/>
      <c r="CW7" s="32"/>
      <c r="CX7" s="18"/>
      <c r="CY7" s="11">
        <f t="shared" si="14"/>
        <v>0</v>
      </c>
      <c r="DA7" s="37" t="s">
        <v>453</v>
      </c>
      <c r="DB7" s="18"/>
      <c r="DC7" s="32">
        <v>1</v>
      </c>
      <c r="DD7" s="18">
        <v>5.0000000000000001E-3</v>
      </c>
      <c r="DE7" s="11">
        <f t="shared" si="15"/>
        <v>5.0000000000000001E-3</v>
      </c>
    </row>
    <row r="8" spans="2:109" x14ac:dyDescent="0.3">
      <c r="C8" s="15" t="s">
        <v>39</v>
      </c>
      <c r="D8" s="16" t="s">
        <v>11</v>
      </c>
      <c r="E8" s="17">
        <v>8</v>
      </c>
      <c r="F8" s="18">
        <v>0</v>
      </c>
      <c r="G8" s="11">
        <f t="shared" si="16"/>
        <v>0</v>
      </c>
      <c r="H8" s="15" t="s">
        <v>45</v>
      </c>
      <c r="I8" s="16" t="s">
        <v>9</v>
      </c>
      <c r="J8" s="17">
        <v>1</v>
      </c>
      <c r="K8" s="18">
        <v>0.01</v>
      </c>
      <c r="L8" s="11">
        <f t="shared" si="0"/>
        <v>0.01</v>
      </c>
      <c r="M8" s="1"/>
      <c r="N8" s="15"/>
      <c r="O8" s="16"/>
      <c r="P8" s="17"/>
      <c r="Q8" s="18"/>
      <c r="R8" s="11">
        <f t="shared" si="1"/>
        <v>0</v>
      </c>
      <c r="S8" s="1"/>
      <c r="T8" s="15"/>
      <c r="U8" s="16"/>
      <c r="V8" s="17"/>
      <c r="W8" s="18"/>
      <c r="X8" s="11">
        <f t="shared" si="2"/>
        <v>0</v>
      </c>
      <c r="Y8" s="1"/>
      <c r="Z8" s="15"/>
      <c r="AA8" s="16"/>
      <c r="AB8" s="17"/>
      <c r="AC8" s="18"/>
      <c r="AD8" s="11">
        <f t="shared" si="3"/>
        <v>0</v>
      </c>
      <c r="AE8" s="1"/>
      <c r="AF8" s="15"/>
      <c r="AG8" s="16"/>
      <c r="AH8" s="17"/>
      <c r="AI8" s="18"/>
      <c r="AJ8" s="11">
        <f t="shared" si="4"/>
        <v>0</v>
      </c>
      <c r="AK8" s="1"/>
      <c r="AL8" s="15" t="s">
        <v>10</v>
      </c>
      <c r="AM8" s="16"/>
      <c r="AN8" s="17">
        <v>9.43</v>
      </c>
      <c r="AO8" s="18">
        <v>0.45</v>
      </c>
      <c r="AP8" s="11">
        <f t="shared" si="5"/>
        <v>4.2435</v>
      </c>
      <c r="AQ8" s="1">
        <f t="shared" si="17"/>
        <v>1.1050781250000001E-2</v>
      </c>
      <c r="AR8" s="1">
        <f t="shared" si="18"/>
        <v>2.2101562500000001E-2</v>
      </c>
      <c r="AS8" s="1">
        <f t="shared" si="19"/>
        <v>5.5253906250000004E-3</v>
      </c>
      <c r="AT8" s="1" t="s">
        <v>102</v>
      </c>
      <c r="AU8" s="1"/>
      <c r="AV8" s="1"/>
      <c r="AW8" s="1"/>
      <c r="AX8" s="15" t="s">
        <v>10</v>
      </c>
      <c r="AY8" s="16"/>
      <c r="AZ8" s="17">
        <v>8.4700000000000006</v>
      </c>
      <c r="BA8" s="18">
        <v>0.45</v>
      </c>
      <c r="BB8" s="11">
        <f t="shared" si="6"/>
        <v>3.8115000000000006</v>
      </c>
      <c r="BC8" s="1"/>
      <c r="BD8" s="15"/>
      <c r="BE8" s="16"/>
      <c r="BF8" s="17"/>
      <c r="BG8" s="18"/>
      <c r="BH8" s="11"/>
      <c r="BI8" s="1"/>
      <c r="BJ8" s="15" t="s">
        <v>213</v>
      </c>
      <c r="BK8" s="16"/>
      <c r="BL8" s="17"/>
      <c r="BM8" s="18"/>
      <c r="BN8" s="11">
        <f t="shared" si="8"/>
        <v>0</v>
      </c>
      <c r="BP8" s="15"/>
      <c r="BQ8" s="16"/>
      <c r="BR8" s="17"/>
      <c r="BS8" s="18"/>
      <c r="BT8" s="11">
        <f t="shared" si="9"/>
        <v>0</v>
      </c>
      <c r="BV8" s="15"/>
      <c r="BW8" s="16"/>
      <c r="BX8" s="17"/>
      <c r="BY8" s="18"/>
      <c r="BZ8" s="11">
        <f t="shared" si="10"/>
        <v>0</v>
      </c>
      <c r="CB8" s="15" t="s">
        <v>158</v>
      </c>
      <c r="CC8" s="16" t="s">
        <v>11</v>
      </c>
      <c r="CD8" s="17">
        <v>1</v>
      </c>
      <c r="CE8" s="18">
        <v>0.06</v>
      </c>
      <c r="CF8" s="11">
        <f t="shared" si="11"/>
        <v>0.06</v>
      </c>
      <c r="CH8" s="15" t="s">
        <v>8</v>
      </c>
      <c r="CI8" s="16"/>
      <c r="CJ8" s="17">
        <v>8.4700000000000006</v>
      </c>
      <c r="CK8" s="18">
        <v>0.02</v>
      </c>
      <c r="CL8" s="11">
        <f t="shared" si="12"/>
        <v>0.16940000000000002</v>
      </c>
      <c r="CO8" s="15"/>
      <c r="CP8" s="16"/>
      <c r="CQ8" s="17"/>
      <c r="CR8" s="18"/>
      <c r="CS8" s="11">
        <f t="shared" si="13"/>
        <v>0</v>
      </c>
      <c r="CU8" s="37" t="s">
        <v>19</v>
      </c>
      <c r="CV8" s="18" t="s">
        <v>128</v>
      </c>
      <c r="CW8" s="32">
        <v>0.15</v>
      </c>
      <c r="CX8" s="18">
        <v>4</v>
      </c>
      <c r="CY8" s="11">
        <f t="shared" si="14"/>
        <v>0.6</v>
      </c>
      <c r="DA8" s="37" t="s">
        <v>19</v>
      </c>
      <c r="DB8" s="18" t="s">
        <v>128</v>
      </c>
      <c r="DC8" s="32">
        <v>0.15</v>
      </c>
      <c r="DD8" s="18">
        <v>4</v>
      </c>
      <c r="DE8" s="11">
        <f t="shared" si="15"/>
        <v>0.6</v>
      </c>
    </row>
    <row r="9" spans="2:109" x14ac:dyDescent="0.3">
      <c r="C9" s="15" t="s">
        <v>45</v>
      </c>
      <c r="D9" s="16" t="s">
        <v>9</v>
      </c>
      <c r="E9" s="17">
        <v>1</v>
      </c>
      <c r="F9" s="18">
        <v>0.25</v>
      </c>
      <c r="G9" s="11">
        <f t="shared" si="16"/>
        <v>0.25</v>
      </c>
      <c r="H9" s="15" t="s">
        <v>103</v>
      </c>
      <c r="I9" s="16" t="s">
        <v>11</v>
      </c>
      <c r="J9" s="17">
        <v>12.39</v>
      </c>
      <c r="K9" s="18">
        <v>0.1</v>
      </c>
      <c r="L9" s="11">
        <f t="shared" si="0"/>
        <v>1.2390000000000001</v>
      </c>
      <c r="M9" s="1"/>
      <c r="N9" s="15"/>
      <c r="O9" s="16"/>
      <c r="P9" s="17"/>
      <c r="Q9" s="18"/>
      <c r="R9" s="11">
        <f t="shared" si="1"/>
        <v>0</v>
      </c>
      <c r="S9" s="1"/>
      <c r="T9" s="15"/>
      <c r="U9" s="16"/>
      <c r="V9" s="17"/>
      <c r="W9" s="18"/>
      <c r="X9" s="11">
        <f t="shared" si="2"/>
        <v>0</v>
      </c>
      <c r="Y9" s="1"/>
      <c r="Z9" s="15"/>
      <c r="AA9" s="16"/>
      <c r="AB9" s="17"/>
      <c r="AC9" s="18"/>
      <c r="AD9" s="11">
        <f t="shared" si="3"/>
        <v>0</v>
      </c>
      <c r="AE9" s="1"/>
      <c r="AF9" s="15"/>
      <c r="AG9" s="16"/>
      <c r="AH9" s="17"/>
      <c r="AI9" s="18"/>
      <c r="AJ9" s="11">
        <f t="shared" si="4"/>
        <v>0</v>
      </c>
      <c r="AK9" s="1"/>
      <c r="AL9" s="15" t="s">
        <v>104</v>
      </c>
      <c r="AM9" s="16"/>
      <c r="AN9" s="17">
        <v>9</v>
      </c>
      <c r="AO9" s="18">
        <v>1.4999999999999999E-2</v>
      </c>
      <c r="AP9" s="11">
        <f t="shared" si="5"/>
        <v>0.13500000000000001</v>
      </c>
      <c r="AQ9" s="1">
        <f t="shared" si="17"/>
        <v>3.5156250000000004E-4</v>
      </c>
      <c r="AR9" s="1">
        <f t="shared" si="18"/>
        <v>7.0312500000000008E-4</v>
      </c>
      <c r="AS9" s="1">
        <f t="shared" si="19"/>
        <v>1.7578125000000002E-4</v>
      </c>
      <c r="AT9" s="1" t="s">
        <v>105</v>
      </c>
      <c r="AU9" s="1"/>
      <c r="AV9" s="1"/>
      <c r="AW9" s="1"/>
      <c r="AX9" s="15" t="s">
        <v>104</v>
      </c>
      <c r="AY9" s="16"/>
      <c r="AZ9" s="17">
        <v>9</v>
      </c>
      <c r="BA9" s="18">
        <v>1.4999999999999999E-2</v>
      </c>
      <c r="BB9" s="11">
        <f t="shared" si="6"/>
        <v>0.13500000000000001</v>
      </c>
      <c r="BC9" s="1"/>
      <c r="BD9" s="15"/>
      <c r="BE9" s="16"/>
      <c r="BF9" s="17"/>
      <c r="BG9" s="18"/>
      <c r="BH9" s="11"/>
      <c r="BI9" s="1"/>
      <c r="BJ9" s="15"/>
      <c r="BK9" s="16"/>
      <c r="BL9" s="17"/>
      <c r="BM9" s="18"/>
      <c r="BN9" s="11">
        <f t="shared" si="8"/>
        <v>0</v>
      </c>
      <c r="BP9" s="15"/>
      <c r="BQ9" s="16"/>
      <c r="BR9" s="17"/>
      <c r="BS9" s="18"/>
      <c r="BT9" s="11">
        <f t="shared" si="9"/>
        <v>0</v>
      </c>
      <c r="BV9" s="15"/>
      <c r="BW9" s="16"/>
      <c r="BX9" s="17"/>
      <c r="BY9" s="18"/>
      <c r="BZ9" s="11">
        <f t="shared" si="10"/>
        <v>0</v>
      </c>
      <c r="CB9" s="15" t="s">
        <v>45</v>
      </c>
      <c r="CC9" s="16" t="s">
        <v>11</v>
      </c>
      <c r="CD9" s="17">
        <v>1</v>
      </c>
      <c r="CE9" s="18">
        <v>0.12</v>
      </c>
      <c r="CF9" s="11">
        <f t="shared" si="11"/>
        <v>0.12</v>
      </c>
      <c r="CH9" s="15" t="s">
        <v>12</v>
      </c>
      <c r="CI9" s="16"/>
      <c r="CJ9" s="17">
        <v>7.5</v>
      </c>
      <c r="CK9" s="18">
        <v>0.5</v>
      </c>
      <c r="CL9" s="11">
        <f t="shared" si="12"/>
        <v>3.75</v>
      </c>
      <c r="CO9" s="15"/>
      <c r="CP9" s="16"/>
      <c r="CQ9" s="17"/>
      <c r="CR9" s="18"/>
      <c r="CS9" s="11">
        <f t="shared" si="13"/>
        <v>0</v>
      </c>
      <c r="CU9" s="37" t="s">
        <v>24</v>
      </c>
      <c r="CV9" s="18"/>
      <c r="CW9" s="32"/>
      <c r="CX9" s="18"/>
      <c r="CY9" s="11">
        <f t="shared" si="14"/>
        <v>0</v>
      </c>
      <c r="DA9" s="37" t="s">
        <v>24</v>
      </c>
      <c r="DB9" s="18"/>
      <c r="DC9" s="32"/>
      <c r="DD9" s="18"/>
      <c r="DE9" s="11">
        <f t="shared" si="15"/>
        <v>0</v>
      </c>
    </row>
    <row r="10" spans="2:109" x14ac:dyDescent="0.3">
      <c r="C10" s="15" t="s">
        <v>103</v>
      </c>
      <c r="D10" s="16" t="s">
        <v>11</v>
      </c>
      <c r="E10" s="17">
        <v>12.39</v>
      </c>
      <c r="F10" s="18">
        <v>0</v>
      </c>
      <c r="G10" s="11">
        <f t="shared" si="16"/>
        <v>0</v>
      </c>
      <c r="H10" s="15"/>
      <c r="I10" s="16"/>
      <c r="J10" s="17"/>
      <c r="K10" s="18"/>
      <c r="L10" s="11">
        <f t="shared" si="0"/>
        <v>0</v>
      </c>
      <c r="M10" s="1"/>
      <c r="N10" s="15"/>
      <c r="O10" s="16"/>
      <c r="P10" s="17"/>
      <c r="Q10" s="18"/>
      <c r="R10" s="11">
        <f t="shared" si="1"/>
        <v>0</v>
      </c>
      <c r="S10" s="1"/>
      <c r="T10" s="15"/>
      <c r="U10" s="16"/>
      <c r="V10" s="17"/>
      <c r="W10" s="18"/>
      <c r="X10" s="11">
        <f t="shared" si="2"/>
        <v>0</v>
      </c>
      <c r="Y10" s="1"/>
      <c r="Z10" s="15"/>
      <c r="AA10" s="16"/>
      <c r="AB10" s="17"/>
      <c r="AC10" s="18"/>
      <c r="AD10" s="11">
        <f t="shared" si="3"/>
        <v>0</v>
      </c>
      <c r="AE10" s="1"/>
      <c r="AF10" s="15"/>
      <c r="AG10" s="16"/>
      <c r="AH10" s="17"/>
      <c r="AI10" s="18"/>
      <c r="AJ10" s="11">
        <f t="shared" si="4"/>
        <v>0</v>
      </c>
      <c r="AK10" s="1"/>
      <c r="AL10" s="15" t="s">
        <v>24</v>
      </c>
      <c r="AM10" s="16"/>
      <c r="AN10" s="17">
        <v>0.02</v>
      </c>
      <c r="AO10" s="18">
        <v>0.16200000000000001</v>
      </c>
      <c r="AP10" s="11">
        <f t="shared" si="5"/>
        <v>3.2400000000000003E-3</v>
      </c>
      <c r="AQ10" s="1">
        <f t="shared" si="17"/>
        <v>8.4375000000000001E-6</v>
      </c>
      <c r="AR10" s="1">
        <f t="shared" si="18"/>
        <v>1.6875E-5</v>
      </c>
      <c r="AS10" s="1">
        <f t="shared" si="19"/>
        <v>4.2187500000000001E-6</v>
      </c>
      <c r="AT10" s="1" t="s">
        <v>106</v>
      </c>
      <c r="AU10" s="1"/>
      <c r="AV10" s="1"/>
      <c r="AW10" s="1"/>
      <c r="AX10" s="15" t="s">
        <v>24</v>
      </c>
      <c r="AY10" s="16"/>
      <c r="AZ10" s="17">
        <v>0.02</v>
      </c>
      <c r="BA10" s="18">
        <v>0.16200000000000001</v>
      </c>
      <c r="BB10" s="11">
        <f t="shared" si="6"/>
        <v>3.2400000000000003E-3</v>
      </c>
      <c r="BC10" s="1"/>
      <c r="BD10" s="15"/>
      <c r="BE10" s="16"/>
      <c r="BF10" s="17"/>
      <c r="BG10" s="18"/>
      <c r="BH10" s="11"/>
      <c r="BI10" s="1"/>
      <c r="BJ10" s="15"/>
      <c r="BK10" s="16"/>
      <c r="BL10" s="17"/>
      <c r="BM10" s="18"/>
      <c r="BN10" s="11">
        <f t="shared" si="8"/>
        <v>0</v>
      </c>
      <c r="BP10" s="15"/>
      <c r="BQ10" s="16"/>
      <c r="BR10" s="17"/>
      <c r="BS10" s="18"/>
      <c r="BT10" s="11">
        <f t="shared" si="9"/>
        <v>0</v>
      </c>
      <c r="BV10" s="15"/>
      <c r="BW10" s="16"/>
      <c r="BX10" s="17"/>
      <c r="BY10" s="18"/>
      <c r="BZ10" s="11">
        <f t="shared" si="10"/>
        <v>0</v>
      </c>
      <c r="CB10" s="15" t="s">
        <v>8</v>
      </c>
      <c r="CC10" s="16"/>
      <c r="CD10" s="17">
        <v>8.4700000000000006</v>
      </c>
      <c r="CE10" s="18">
        <v>0.02</v>
      </c>
      <c r="CF10" s="11">
        <f t="shared" si="11"/>
        <v>0.16940000000000002</v>
      </c>
      <c r="CH10" s="15" t="s">
        <v>220</v>
      </c>
      <c r="CI10" s="16"/>
      <c r="CJ10" s="17">
        <v>9.1999999999999993</v>
      </c>
      <c r="CK10" s="18">
        <v>0.5</v>
      </c>
      <c r="CL10" s="11">
        <f t="shared" si="12"/>
        <v>4.5999999999999996</v>
      </c>
      <c r="CO10" s="15"/>
      <c r="CP10" s="16"/>
      <c r="CQ10" s="17"/>
      <c r="CR10" s="18"/>
      <c r="CS10" s="11">
        <f t="shared" si="13"/>
        <v>0</v>
      </c>
      <c r="CU10" s="37"/>
      <c r="CV10" s="18"/>
      <c r="CW10" s="18"/>
      <c r="CX10" s="18"/>
      <c r="CY10" s="11">
        <f t="shared" si="14"/>
        <v>0</v>
      </c>
      <c r="DA10" s="37"/>
      <c r="DB10" s="18"/>
      <c r="DC10" s="18"/>
      <c r="DD10" s="18"/>
      <c r="DE10" s="11">
        <f t="shared" si="15"/>
        <v>0</v>
      </c>
    </row>
    <row r="11" spans="2:109" x14ac:dyDescent="0.3">
      <c r="C11" s="15" t="s">
        <v>15</v>
      </c>
      <c r="D11" s="16"/>
      <c r="E11" s="17">
        <v>1.5</v>
      </c>
      <c r="F11" s="18">
        <v>5.0000000000000001E-3</v>
      </c>
      <c r="G11" s="11">
        <f t="shared" si="16"/>
        <v>7.4999999999999997E-3</v>
      </c>
      <c r="H11" s="15"/>
      <c r="I11" s="16"/>
      <c r="J11" s="17"/>
      <c r="K11" s="18"/>
      <c r="L11" s="11">
        <f t="shared" si="0"/>
        <v>0</v>
      </c>
      <c r="M11" s="1"/>
      <c r="N11" s="15"/>
      <c r="O11" s="16"/>
      <c r="P11" s="17"/>
      <c r="Q11" s="18"/>
      <c r="R11" s="11">
        <f t="shared" si="1"/>
        <v>0</v>
      </c>
      <c r="S11" s="1"/>
      <c r="T11" s="15"/>
      <c r="U11" s="16"/>
      <c r="V11" s="17"/>
      <c r="W11" s="18"/>
      <c r="X11" s="11">
        <f t="shared" si="2"/>
        <v>0</v>
      </c>
      <c r="Y11" s="1"/>
      <c r="Z11" s="15"/>
      <c r="AA11" s="16"/>
      <c r="AB11" s="17"/>
      <c r="AC11" s="18"/>
      <c r="AD11" s="11">
        <f t="shared" si="3"/>
        <v>0</v>
      </c>
      <c r="AE11" s="1"/>
      <c r="AF11" s="15"/>
      <c r="AG11" s="16"/>
      <c r="AH11" s="17"/>
      <c r="AI11" s="18"/>
      <c r="AJ11" s="11">
        <f t="shared" si="4"/>
        <v>0</v>
      </c>
      <c r="AK11" s="1"/>
      <c r="AL11" s="15" t="s">
        <v>12</v>
      </c>
      <c r="AM11" s="16"/>
      <c r="AN11" s="17">
        <v>1.35</v>
      </c>
      <c r="AO11" s="18">
        <v>2.25</v>
      </c>
      <c r="AP11" s="11">
        <f t="shared" si="5"/>
        <v>3.0375000000000001</v>
      </c>
      <c r="AQ11" s="1">
        <f t="shared" si="17"/>
        <v>7.9101562499999997E-3</v>
      </c>
      <c r="AR11" s="1">
        <f t="shared" si="18"/>
        <v>1.5820312499999999E-2</v>
      </c>
      <c r="AS11" s="1">
        <f t="shared" si="19"/>
        <v>3.9550781249999998E-3</v>
      </c>
      <c r="AT11" s="1" t="s">
        <v>107</v>
      </c>
      <c r="AU11" s="1"/>
      <c r="AV11" s="1"/>
      <c r="AW11" s="1"/>
      <c r="AX11" s="15" t="s">
        <v>12</v>
      </c>
      <c r="AY11" s="16"/>
      <c r="AZ11" s="17">
        <v>1.35</v>
      </c>
      <c r="BA11" s="18">
        <v>2.25</v>
      </c>
      <c r="BB11" s="11">
        <f t="shared" si="6"/>
        <v>3.0375000000000001</v>
      </c>
      <c r="BC11" s="1"/>
      <c r="BD11" s="15"/>
      <c r="BE11" s="16"/>
      <c r="BF11" s="17"/>
      <c r="BG11" s="18"/>
      <c r="BH11" s="11"/>
      <c r="BI11" s="1"/>
      <c r="BJ11" s="15"/>
      <c r="BK11" s="16"/>
      <c r="BL11" s="17"/>
      <c r="BM11" s="18"/>
      <c r="BN11" s="11">
        <f t="shared" si="8"/>
        <v>0</v>
      </c>
      <c r="BP11" s="15"/>
      <c r="BQ11" s="16"/>
      <c r="BR11" s="17"/>
      <c r="BS11" s="18"/>
      <c r="BT11" s="11">
        <f t="shared" si="9"/>
        <v>0</v>
      </c>
      <c r="BV11" s="15"/>
      <c r="BW11" s="16"/>
      <c r="BX11" s="17"/>
      <c r="BY11" s="18"/>
      <c r="BZ11" s="11">
        <f t="shared" si="10"/>
        <v>0</v>
      </c>
      <c r="CB11" s="15" t="s">
        <v>12</v>
      </c>
      <c r="CC11" s="16"/>
      <c r="CD11" s="17">
        <v>7.5</v>
      </c>
      <c r="CE11" s="18">
        <v>0.5</v>
      </c>
      <c r="CF11" s="11">
        <f t="shared" si="11"/>
        <v>3.75</v>
      </c>
      <c r="CH11" s="15" t="s">
        <v>154</v>
      </c>
      <c r="CI11" s="16"/>
      <c r="CJ11" s="17">
        <v>1.5</v>
      </c>
      <c r="CK11" s="18">
        <v>0.04</v>
      </c>
      <c r="CL11" s="11">
        <f t="shared" si="12"/>
        <v>0.06</v>
      </c>
      <c r="CO11" s="15"/>
      <c r="CP11" s="16"/>
      <c r="CQ11" s="17"/>
      <c r="CR11" s="18"/>
      <c r="CS11" s="11">
        <f t="shared" si="13"/>
        <v>0</v>
      </c>
      <c r="CU11" s="42"/>
      <c r="CV11" s="14"/>
      <c r="CW11" s="14"/>
      <c r="CX11" s="14"/>
      <c r="CY11" s="11">
        <f t="shared" si="14"/>
        <v>0</v>
      </c>
      <c r="DA11" s="42"/>
      <c r="DB11" s="14"/>
      <c r="DC11" s="14"/>
      <c r="DD11" s="14"/>
      <c r="DE11" s="11">
        <f t="shared" si="15"/>
        <v>0</v>
      </c>
    </row>
    <row r="12" spans="2:109" x14ac:dyDescent="0.3">
      <c r="C12" s="15"/>
      <c r="D12" s="16"/>
      <c r="E12" s="17"/>
      <c r="F12" s="18"/>
      <c r="G12" s="11">
        <f t="shared" si="16"/>
        <v>0</v>
      </c>
      <c r="H12" s="19"/>
      <c r="I12" s="20"/>
      <c r="J12" s="20"/>
      <c r="K12" s="21"/>
      <c r="L12" s="11">
        <f t="shared" si="0"/>
        <v>0</v>
      </c>
      <c r="M12" s="1"/>
      <c r="N12" s="19"/>
      <c r="O12" s="20"/>
      <c r="P12" s="20"/>
      <c r="Q12" s="21"/>
      <c r="R12" s="11">
        <f t="shared" si="1"/>
        <v>0</v>
      </c>
      <c r="S12" s="1"/>
      <c r="T12" s="19"/>
      <c r="U12" s="20"/>
      <c r="V12" s="20"/>
      <c r="W12" s="21"/>
      <c r="X12" s="11">
        <f t="shared" si="2"/>
        <v>0</v>
      </c>
      <c r="Y12" s="1"/>
      <c r="Z12" s="19"/>
      <c r="AA12" s="20"/>
      <c r="AB12" s="20"/>
      <c r="AC12" s="21"/>
      <c r="AD12" s="11">
        <f t="shared" si="3"/>
        <v>0</v>
      </c>
      <c r="AE12" s="1"/>
      <c r="AF12" s="19"/>
      <c r="AG12" s="20"/>
      <c r="AH12" s="20"/>
      <c r="AI12" s="21"/>
      <c r="AJ12" s="11">
        <f t="shared" si="4"/>
        <v>0</v>
      </c>
      <c r="AK12" s="1"/>
      <c r="AL12" s="19" t="s">
        <v>10</v>
      </c>
      <c r="AM12" s="20"/>
      <c r="AN12" s="20">
        <v>9.43</v>
      </c>
      <c r="AO12" s="21">
        <v>4</v>
      </c>
      <c r="AP12" s="11">
        <f t="shared" si="5"/>
        <v>37.72</v>
      </c>
      <c r="AQ12" s="1">
        <f t="shared" si="17"/>
        <v>9.8229166666666659E-2</v>
      </c>
      <c r="AR12" s="1">
        <f t="shared" si="18"/>
        <v>0.19645833333333332</v>
      </c>
      <c r="AS12" s="1">
        <f t="shared" si="19"/>
        <v>4.911458333333333E-2</v>
      </c>
      <c r="AT12" s="1" t="s">
        <v>108</v>
      </c>
      <c r="AU12" s="1"/>
      <c r="AV12" s="1"/>
      <c r="AW12" s="1"/>
      <c r="AX12" s="19"/>
      <c r="AY12" s="20"/>
      <c r="AZ12" s="20"/>
      <c r="BA12" s="21"/>
      <c r="BB12" s="11">
        <f t="shared" si="6"/>
        <v>0</v>
      </c>
      <c r="BC12" s="1"/>
      <c r="BD12" s="19"/>
      <c r="BE12" s="20"/>
      <c r="BF12" s="20"/>
      <c r="BG12" s="21"/>
      <c r="BH12" s="11">
        <f t="shared" si="7"/>
        <v>0</v>
      </c>
      <c r="BI12" s="1"/>
      <c r="BJ12" s="19"/>
      <c r="BK12" s="20"/>
      <c r="BL12" s="20"/>
      <c r="BM12" s="21"/>
      <c r="BN12" s="11">
        <f t="shared" si="8"/>
        <v>0</v>
      </c>
      <c r="BP12" s="19"/>
      <c r="BQ12" s="20"/>
      <c r="BR12" s="20"/>
      <c r="BS12" s="21"/>
      <c r="BT12" s="11">
        <f t="shared" si="9"/>
        <v>0</v>
      </c>
      <c r="BV12" s="19"/>
      <c r="BW12" s="20"/>
      <c r="BX12" s="20"/>
      <c r="BY12" s="21"/>
      <c r="BZ12" s="11">
        <f t="shared" si="10"/>
        <v>0</v>
      </c>
      <c r="CB12" s="19" t="s">
        <v>181</v>
      </c>
      <c r="CC12" s="20"/>
      <c r="CD12" s="20">
        <v>9.1999999999999993</v>
      </c>
      <c r="CE12" s="21">
        <v>0.5</v>
      </c>
      <c r="CF12" s="11">
        <f t="shared" si="11"/>
        <v>4.5999999999999996</v>
      </c>
      <c r="CH12" s="19" t="s">
        <v>182</v>
      </c>
      <c r="CI12" s="20"/>
      <c r="CJ12" s="20">
        <v>11</v>
      </c>
      <c r="CK12" s="21">
        <v>0.03</v>
      </c>
      <c r="CL12" s="11">
        <f t="shared" si="12"/>
        <v>0.32999999999999996</v>
      </c>
      <c r="CO12" s="19"/>
      <c r="CP12" s="20"/>
      <c r="CQ12" s="20"/>
      <c r="CR12" s="21"/>
      <c r="CS12" s="11">
        <f t="shared" si="13"/>
        <v>0</v>
      </c>
      <c r="CU12" s="37"/>
      <c r="CV12" s="18"/>
      <c r="CW12" s="18"/>
      <c r="CX12" s="18"/>
      <c r="CY12" s="11">
        <f t="shared" si="14"/>
        <v>0</v>
      </c>
      <c r="DA12" s="37"/>
      <c r="DB12" s="18"/>
      <c r="DC12" s="18"/>
      <c r="DD12" s="18"/>
      <c r="DE12" s="11">
        <f t="shared" si="15"/>
        <v>0</v>
      </c>
    </row>
    <row r="13" spans="2:109" x14ac:dyDescent="0.3">
      <c r="C13" s="19"/>
      <c r="D13" s="20"/>
      <c r="E13" s="20"/>
      <c r="F13" s="21"/>
      <c r="G13" s="11">
        <f t="shared" si="16"/>
        <v>0</v>
      </c>
      <c r="H13" s="19"/>
      <c r="I13" s="20"/>
      <c r="J13" s="20"/>
      <c r="K13" s="21"/>
      <c r="L13" s="11">
        <f t="shared" si="0"/>
        <v>0</v>
      </c>
      <c r="M13" s="1"/>
      <c r="N13" s="19"/>
      <c r="O13" s="20"/>
      <c r="P13" s="20"/>
      <c r="Q13" s="21"/>
      <c r="R13" s="11">
        <f t="shared" si="1"/>
        <v>0</v>
      </c>
      <c r="S13" s="1"/>
      <c r="T13" s="19"/>
      <c r="U13" s="20"/>
      <c r="V13" s="20"/>
      <c r="W13" s="21"/>
      <c r="X13" s="11">
        <f t="shared" si="2"/>
        <v>0</v>
      </c>
      <c r="Y13" s="1"/>
      <c r="Z13" s="19"/>
      <c r="AA13" s="20"/>
      <c r="AB13" s="20"/>
      <c r="AC13" s="21"/>
      <c r="AD13" s="11">
        <f t="shared" si="3"/>
        <v>0</v>
      </c>
      <c r="AE13" s="1"/>
      <c r="AF13" s="19"/>
      <c r="AG13" s="20"/>
      <c r="AH13" s="20"/>
      <c r="AI13" s="21"/>
      <c r="AJ13" s="11">
        <f t="shared" si="4"/>
        <v>0</v>
      </c>
      <c r="AK13" s="1"/>
      <c r="AL13" s="19"/>
      <c r="AM13" s="20"/>
      <c r="AN13" s="20"/>
      <c r="AO13" s="21"/>
      <c r="AP13" s="11"/>
      <c r="AQ13" s="1"/>
      <c r="AR13" s="1"/>
      <c r="AS13" s="1"/>
      <c r="AT13" s="1"/>
      <c r="AU13" s="1"/>
      <c r="AV13" s="1"/>
      <c r="AW13" s="1"/>
      <c r="AX13" s="19"/>
      <c r="AY13" s="20"/>
      <c r="AZ13" s="20"/>
      <c r="BA13" s="21"/>
      <c r="BB13" s="11">
        <f t="shared" si="6"/>
        <v>0</v>
      </c>
      <c r="BC13" s="1"/>
      <c r="BD13" s="19"/>
      <c r="BE13" s="20"/>
      <c r="BF13" s="20"/>
      <c r="BG13" s="21"/>
      <c r="BH13" s="11">
        <f t="shared" si="7"/>
        <v>0</v>
      </c>
      <c r="BI13" s="1"/>
      <c r="BJ13" s="19"/>
      <c r="BK13" s="20"/>
      <c r="BL13" s="20" t="s">
        <v>279</v>
      </c>
      <c r="BM13" s="21"/>
      <c r="BN13" s="11" t="e">
        <f t="shared" si="8"/>
        <v>#VALUE!</v>
      </c>
      <c r="BP13" s="19" t="s">
        <v>215</v>
      </c>
      <c r="BQ13" s="20"/>
      <c r="BR13" s="20"/>
      <c r="BS13" s="21"/>
      <c r="BT13" s="11">
        <f t="shared" si="9"/>
        <v>0</v>
      </c>
      <c r="BV13" s="19"/>
      <c r="BW13" s="20"/>
      <c r="BX13" s="20"/>
      <c r="BY13" s="21"/>
      <c r="BZ13" s="11">
        <f t="shared" si="10"/>
        <v>0</v>
      </c>
      <c r="CB13" s="19" t="s">
        <v>154</v>
      </c>
      <c r="CC13" s="20"/>
      <c r="CD13" s="20">
        <v>1.5</v>
      </c>
      <c r="CE13" s="21">
        <v>0.04</v>
      </c>
      <c r="CF13" s="11">
        <f t="shared" si="11"/>
        <v>0.06</v>
      </c>
      <c r="CH13" s="19" t="s">
        <v>24</v>
      </c>
      <c r="CI13" s="20"/>
      <c r="CJ13" s="20">
        <v>0.02</v>
      </c>
      <c r="CK13" s="21">
        <v>0.02</v>
      </c>
      <c r="CL13" s="11">
        <f t="shared" si="12"/>
        <v>4.0000000000000002E-4</v>
      </c>
      <c r="CO13" s="19" t="s">
        <v>215</v>
      </c>
      <c r="CP13" s="20"/>
      <c r="CQ13" s="20"/>
      <c r="CR13" s="21"/>
      <c r="CS13" s="11">
        <f t="shared" si="13"/>
        <v>0</v>
      </c>
      <c r="CU13" s="42"/>
      <c r="CV13" s="14"/>
      <c r="CW13" s="14"/>
      <c r="CX13" s="14"/>
      <c r="CY13" s="11">
        <f t="shared" si="14"/>
        <v>0</v>
      </c>
      <c r="DA13" s="42"/>
      <c r="DB13" s="14"/>
      <c r="DC13" s="14"/>
      <c r="DD13" s="14"/>
      <c r="DE13" s="11">
        <f t="shared" si="15"/>
        <v>0</v>
      </c>
    </row>
    <row r="14" spans="2:109" x14ac:dyDescent="0.3">
      <c r="C14" s="19"/>
      <c r="D14" s="20"/>
      <c r="E14" s="20"/>
      <c r="F14" s="21"/>
      <c r="G14" s="11">
        <f t="shared" si="16"/>
        <v>0</v>
      </c>
      <c r="H14" s="19"/>
      <c r="I14" s="20"/>
      <c r="J14" s="20"/>
      <c r="K14" s="21"/>
      <c r="L14" s="11">
        <f t="shared" si="0"/>
        <v>0</v>
      </c>
      <c r="M14" s="1"/>
      <c r="N14" s="19"/>
      <c r="O14" s="20"/>
      <c r="P14" s="20"/>
      <c r="Q14" s="21"/>
      <c r="R14" s="11">
        <f t="shared" si="1"/>
        <v>0</v>
      </c>
      <c r="S14" s="1"/>
      <c r="T14" s="19"/>
      <c r="U14" s="20"/>
      <c r="V14" s="20"/>
      <c r="W14" s="21"/>
      <c r="X14" s="11">
        <f t="shared" si="2"/>
        <v>0</v>
      </c>
      <c r="Y14" s="1"/>
      <c r="Z14" s="19"/>
      <c r="AA14" s="20"/>
      <c r="AB14" s="20"/>
      <c r="AC14" s="21"/>
      <c r="AD14" s="11">
        <f t="shared" si="3"/>
        <v>0</v>
      </c>
      <c r="AE14" s="1"/>
      <c r="AF14" s="19"/>
      <c r="AG14" s="20"/>
      <c r="AH14" s="20"/>
      <c r="AI14" s="21"/>
      <c r="AJ14" s="11">
        <f t="shared" si="4"/>
        <v>0</v>
      </c>
      <c r="AK14" s="1"/>
      <c r="AL14" s="19"/>
      <c r="AM14" s="20"/>
      <c r="AN14" s="20"/>
      <c r="AO14" s="21"/>
      <c r="AP14" s="11"/>
      <c r="AQ14" s="1"/>
      <c r="AR14" s="1"/>
      <c r="AS14" s="1"/>
      <c r="AT14" s="1"/>
      <c r="AU14" s="1"/>
      <c r="AV14" s="1"/>
      <c r="AW14" s="1"/>
      <c r="AX14" s="19"/>
      <c r="AY14" s="20"/>
      <c r="AZ14" s="20"/>
      <c r="BA14" s="21"/>
      <c r="BB14" s="11">
        <f t="shared" si="6"/>
        <v>0</v>
      </c>
      <c r="BC14" s="1"/>
      <c r="BD14" s="19"/>
      <c r="BE14" s="20"/>
      <c r="BF14" s="20"/>
      <c r="BG14" s="21"/>
      <c r="BH14" s="11">
        <f t="shared" si="7"/>
        <v>0</v>
      </c>
      <c r="BI14" s="1"/>
      <c r="BJ14" s="19"/>
      <c r="BK14" s="20"/>
      <c r="BL14" s="20"/>
      <c r="BM14" s="21"/>
      <c r="BN14" s="11">
        <f t="shared" si="8"/>
        <v>0</v>
      </c>
      <c r="BP14" s="19"/>
      <c r="BQ14" s="20"/>
      <c r="BR14" s="20"/>
      <c r="BS14" s="21"/>
      <c r="BT14" s="11">
        <f t="shared" si="9"/>
        <v>0</v>
      </c>
      <c r="BV14" s="19"/>
      <c r="BW14" s="20"/>
      <c r="BX14" s="20"/>
      <c r="BY14" s="21"/>
      <c r="BZ14" s="11">
        <f t="shared" si="10"/>
        <v>0</v>
      </c>
      <c r="CB14" s="19" t="s">
        <v>167</v>
      </c>
      <c r="CC14" s="20"/>
      <c r="CD14" s="20">
        <v>11</v>
      </c>
      <c r="CE14" s="21">
        <v>0.03</v>
      </c>
      <c r="CF14" s="11">
        <f t="shared" si="11"/>
        <v>0.32999999999999996</v>
      </c>
      <c r="CH14" s="19"/>
      <c r="CI14" s="20"/>
      <c r="CJ14" s="20"/>
      <c r="CK14" s="21"/>
      <c r="CL14" s="11">
        <f t="shared" si="12"/>
        <v>0</v>
      </c>
      <c r="CO14" s="19"/>
      <c r="CP14" s="20"/>
      <c r="CQ14" s="20"/>
      <c r="CR14" s="21"/>
      <c r="CS14" s="11">
        <f t="shared" si="13"/>
        <v>0</v>
      </c>
      <c r="CU14" s="37"/>
      <c r="CV14" s="18"/>
      <c r="CW14" s="18"/>
      <c r="CX14" s="18"/>
      <c r="CY14" s="11">
        <f t="shared" si="14"/>
        <v>0</v>
      </c>
      <c r="DA14" s="37"/>
      <c r="DB14" s="18"/>
      <c r="DC14" s="18"/>
      <c r="DD14" s="18"/>
      <c r="DE14" s="11">
        <f t="shared" si="15"/>
        <v>0</v>
      </c>
    </row>
    <row r="15" spans="2:109" x14ac:dyDescent="0.3">
      <c r="C15" s="19"/>
      <c r="D15" s="20"/>
      <c r="E15" s="20"/>
      <c r="F15" s="21"/>
      <c r="G15" s="11">
        <f t="shared" si="16"/>
        <v>0</v>
      </c>
      <c r="H15" s="19"/>
      <c r="I15" s="20"/>
      <c r="J15" s="20"/>
      <c r="K15" s="21"/>
      <c r="L15" s="11">
        <f t="shared" si="0"/>
        <v>0</v>
      </c>
      <c r="M15" s="1"/>
      <c r="N15" s="19"/>
      <c r="O15" s="20"/>
      <c r="P15" s="20"/>
      <c r="Q15" s="21"/>
      <c r="R15" s="11">
        <f t="shared" si="1"/>
        <v>0</v>
      </c>
      <c r="S15" s="1"/>
      <c r="T15" s="19"/>
      <c r="U15" s="20"/>
      <c r="V15" s="20"/>
      <c r="W15" s="21"/>
      <c r="X15" s="11">
        <f t="shared" si="2"/>
        <v>0</v>
      </c>
      <c r="Y15" s="1"/>
      <c r="Z15" s="19"/>
      <c r="AA15" s="20"/>
      <c r="AB15" s="20"/>
      <c r="AC15" s="21"/>
      <c r="AD15" s="11">
        <f t="shared" si="3"/>
        <v>0</v>
      </c>
      <c r="AE15" s="1"/>
      <c r="AF15" s="19"/>
      <c r="AG15" s="20"/>
      <c r="AH15" s="20"/>
      <c r="AI15" s="21"/>
      <c r="AJ15" s="11">
        <f t="shared" si="4"/>
        <v>0</v>
      </c>
      <c r="AK15" s="1"/>
      <c r="AL15" s="19"/>
      <c r="AM15" s="20"/>
      <c r="AN15" s="20"/>
      <c r="AO15" s="21"/>
      <c r="AP15" s="11"/>
      <c r="AQ15" s="1"/>
      <c r="AR15" s="1"/>
      <c r="AS15" s="1"/>
      <c r="AT15" s="1"/>
      <c r="AU15" s="1"/>
      <c r="AV15" s="1"/>
      <c r="AW15" s="1"/>
      <c r="AX15" s="19"/>
      <c r="AY15" s="20"/>
      <c r="AZ15" s="20"/>
      <c r="BA15" s="21"/>
      <c r="BB15" s="11">
        <f t="shared" si="6"/>
        <v>0</v>
      </c>
      <c r="BC15" s="1"/>
      <c r="BD15" s="19"/>
      <c r="BE15" s="20"/>
      <c r="BF15" s="20"/>
      <c r="BG15" s="21"/>
      <c r="BH15" s="11">
        <f t="shared" si="7"/>
        <v>0</v>
      </c>
      <c r="BI15" s="1"/>
      <c r="BJ15" s="19"/>
      <c r="BK15" s="20"/>
      <c r="BL15" s="20"/>
      <c r="BM15" s="21"/>
      <c r="BN15" s="11">
        <f t="shared" si="8"/>
        <v>0</v>
      </c>
      <c r="BP15" s="19"/>
      <c r="BQ15" s="20"/>
      <c r="BR15" s="20"/>
      <c r="BS15" s="21"/>
      <c r="BT15" s="11">
        <f t="shared" si="9"/>
        <v>0</v>
      </c>
      <c r="BV15" s="19"/>
      <c r="BW15" s="20"/>
      <c r="BX15" s="20"/>
      <c r="BY15" s="21"/>
      <c r="BZ15" s="11">
        <f t="shared" si="10"/>
        <v>0</v>
      </c>
      <c r="CB15" s="19" t="s">
        <v>24</v>
      </c>
      <c r="CC15" s="20"/>
      <c r="CD15" s="20">
        <v>0.2</v>
      </c>
      <c r="CE15" s="21">
        <v>0.02</v>
      </c>
      <c r="CF15" s="11">
        <f t="shared" si="11"/>
        <v>4.0000000000000001E-3</v>
      </c>
      <c r="CH15" s="19"/>
      <c r="CI15" s="20"/>
      <c r="CJ15" s="20"/>
      <c r="CK15" s="21"/>
      <c r="CL15" s="11">
        <f t="shared" si="12"/>
        <v>0</v>
      </c>
      <c r="CO15" s="19"/>
      <c r="CP15" s="20"/>
      <c r="CQ15" s="20"/>
      <c r="CR15" s="21"/>
      <c r="CS15" s="11">
        <f t="shared" si="13"/>
        <v>0</v>
      </c>
      <c r="CU15" s="37"/>
      <c r="CV15" s="18"/>
      <c r="CW15" s="18"/>
      <c r="CX15" s="18"/>
      <c r="CY15" s="38">
        <f t="shared" si="14"/>
        <v>0</v>
      </c>
      <c r="DA15" s="37"/>
      <c r="DB15" s="18"/>
      <c r="DC15" s="18"/>
      <c r="DD15" s="18"/>
      <c r="DE15" s="38">
        <f t="shared" si="15"/>
        <v>0</v>
      </c>
    </row>
    <row r="16" spans="2:109" x14ac:dyDescent="0.3">
      <c r="C16" s="19"/>
      <c r="D16" s="20"/>
      <c r="E16" s="20"/>
      <c r="F16" s="21"/>
      <c r="G16" s="11">
        <f t="shared" si="16"/>
        <v>0</v>
      </c>
      <c r="H16" s="19"/>
      <c r="I16" s="20"/>
      <c r="J16" s="20"/>
      <c r="K16" s="21"/>
      <c r="L16" s="11">
        <f t="shared" si="0"/>
        <v>0</v>
      </c>
      <c r="M16" s="1"/>
      <c r="N16" s="19"/>
      <c r="O16" s="20"/>
      <c r="P16" s="20"/>
      <c r="Q16" s="21"/>
      <c r="R16" s="11">
        <f t="shared" si="1"/>
        <v>0</v>
      </c>
      <c r="S16" s="1"/>
      <c r="T16" s="19"/>
      <c r="U16" s="20"/>
      <c r="V16" s="20"/>
      <c r="W16" s="21"/>
      <c r="X16" s="11">
        <f t="shared" si="2"/>
        <v>0</v>
      </c>
      <c r="Y16" s="1"/>
      <c r="Z16" s="19"/>
      <c r="AA16" s="20"/>
      <c r="AB16" s="20"/>
      <c r="AC16" s="21"/>
      <c r="AD16" s="11">
        <f t="shared" si="3"/>
        <v>0</v>
      </c>
      <c r="AE16" s="1"/>
      <c r="AF16" s="19"/>
      <c r="AG16" s="20"/>
      <c r="AH16" s="20"/>
      <c r="AI16" s="21"/>
      <c r="AJ16" s="11">
        <f t="shared" si="4"/>
        <v>0</v>
      </c>
      <c r="AK16" s="1"/>
      <c r="AL16" s="19"/>
      <c r="AM16" s="20"/>
      <c r="AN16" s="20"/>
      <c r="AO16" s="21"/>
      <c r="AP16" s="11"/>
      <c r="AQ16" s="1"/>
      <c r="AR16" s="1"/>
      <c r="AS16" s="1"/>
      <c r="AT16" s="1"/>
      <c r="AU16" s="1"/>
      <c r="AV16" s="1"/>
      <c r="AW16" s="1"/>
      <c r="AX16" s="19"/>
      <c r="AY16" s="20"/>
      <c r="AZ16" s="20"/>
      <c r="BA16" s="21"/>
      <c r="BB16" s="11">
        <f t="shared" si="6"/>
        <v>0</v>
      </c>
      <c r="BC16" s="1"/>
      <c r="BD16" s="19"/>
      <c r="BE16" s="20"/>
      <c r="BF16" s="20"/>
      <c r="BG16" s="21"/>
      <c r="BH16" s="11">
        <f t="shared" si="7"/>
        <v>0</v>
      </c>
      <c r="BI16" s="1"/>
      <c r="BJ16" s="19"/>
      <c r="BK16" s="20"/>
      <c r="BL16" s="20"/>
      <c r="BM16" s="21"/>
      <c r="BN16" s="11">
        <f t="shared" si="8"/>
        <v>0</v>
      </c>
      <c r="BP16" s="19"/>
      <c r="BQ16" s="20"/>
      <c r="BR16" s="20"/>
      <c r="BS16" s="21"/>
      <c r="BT16" s="11">
        <f t="shared" si="9"/>
        <v>0</v>
      </c>
      <c r="BV16" s="19"/>
      <c r="BW16" s="20"/>
      <c r="BX16" s="20"/>
      <c r="BY16" s="21"/>
      <c r="BZ16" s="11">
        <f t="shared" si="10"/>
        <v>0</v>
      </c>
      <c r="CB16" s="19"/>
      <c r="CC16" s="20"/>
      <c r="CD16" s="20"/>
      <c r="CE16" s="21"/>
      <c r="CF16" s="11">
        <f t="shared" si="11"/>
        <v>0</v>
      </c>
      <c r="CH16" s="19"/>
      <c r="CI16" s="20"/>
      <c r="CJ16" s="20"/>
      <c r="CK16" s="21"/>
      <c r="CL16" s="11">
        <f t="shared" si="12"/>
        <v>0</v>
      </c>
      <c r="CO16" s="19"/>
      <c r="CP16" s="20"/>
      <c r="CQ16" s="20"/>
      <c r="CR16" s="21"/>
      <c r="CS16" s="11">
        <f t="shared" si="13"/>
        <v>0</v>
      </c>
      <c r="CU16" s="37"/>
      <c r="CV16" s="18"/>
      <c r="CW16" s="18"/>
      <c r="CX16" s="18"/>
      <c r="CY16" s="38">
        <f t="shared" si="14"/>
        <v>0</v>
      </c>
      <c r="DA16" s="37"/>
      <c r="DB16" s="18"/>
      <c r="DC16" s="18"/>
      <c r="DD16" s="18"/>
      <c r="DE16" s="38">
        <f t="shared" si="15"/>
        <v>0</v>
      </c>
    </row>
    <row r="17" spans="1:109" x14ac:dyDescent="0.3">
      <c r="C17" s="19"/>
      <c r="D17" s="20"/>
      <c r="E17" s="20"/>
      <c r="F17" s="21"/>
      <c r="G17" s="11">
        <f t="shared" si="16"/>
        <v>0</v>
      </c>
      <c r="H17" s="19"/>
      <c r="I17" s="20"/>
      <c r="J17" s="20"/>
      <c r="K17" s="21"/>
      <c r="L17" s="11">
        <f t="shared" si="0"/>
        <v>0</v>
      </c>
      <c r="M17" s="1"/>
      <c r="N17" s="19"/>
      <c r="O17" s="20"/>
      <c r="P17" s="20"/>
      <c r="Q17" s="21"/>
      <c r="R17" s="11">
        <f t="shared" si="1"/>
        <v>0</v>
      </c>
      <c r="S17" s="1"/>
      <c r="T17" s="19"/>
      <c r="U17" s="20"/>
      <c r="V17" s="20"/>
      <c r="W17" s="21"/>
      <c r="X17" s="11">
        <f t="shared" si="2"/>
        <v>0</v>
      </c>
      <c r="Y17" s="1"/>
      <c r="Z17" s="19"/>
      <c r="AA17" s="20"/>
      <c r="AB17" s="20"/>
      <c r="AC17" s="21"/>
      <c r="AD17" s="11">
        <f t="shared" si="3"/>
        <v>0</v>
      </c>
      <c r="AE17" s="1"/>
      <c r="AF17" s="19"/>
      <c r="AG17" s="20"/>
      <c r="AH17" s="20"/>
      <c r="AI17" s="21"/>
      <c r="AJ17" s="11">
        <f t="shared" si="4"/>
        <v>0</v>
      </c>
      <c r="AK17" s="1"/>
      <c r="AL17" s="19"/>
      <c r="AM17" s="20"/>
      <c r="AN17" s="20"/>
      <c r="AO17" s="21"/>
      <c r="AP17" s="11"/>
      <c r="AQ17" s="1"/>
      <c r="AR17" s="1"/>
      <c r="AS17" s="1"/>
      <c r="AT17" s="1"/>
      <c r="AU17" s="1"/>
      <c r="AV17" s="1"/>
      <c r="AW17" s="1"/>
      <c r="AX17" s="19"/>
      <c r="AY17" s="20"/>
      <c r="AZ17" s="20"/>
      <c r="BA17" s="21"/>
      <c r="BB17" s="11">
        <f t="shared" si="6"/>
        <v>0</v>
      </c>
      <c r="BC17" s="1"/>
      <c r="BD17" s="19"/>
      <c r="BE17" s="20"/>
      <c r="BF17" s="20"/>
      <c r="BG17" s="21"/>
      <c r="BH17" s="11">
        <f t="shared" si="7"/>
        <v>0</v>
      </c>
      <c r="BI17" s="1"/>
      <c r="BJ17" s="19"/>
      <c r="BK17" s="20"/>
      <c r="BL17" s="20"/>
      <c r="BM17" s="21"/>
      <c r="BN17" s="11">
        <f t="shared" si="8"/>
        <v>0</v>
      </c>
      <c r="BP17" s="19"/>
      <c r="BQ17" s="20"/>
      <c r="BR17" s="20"/>
      <c r="BS17" s="21"/>
      <c r="BT17" s="11">
        <f t="shared" si="9"/>
        <v>0</v>
      </c>
      <c r="BV17" s="19"/>
      <c r="BW17" s="20"/>
      <c r="BX17" s="20"/>
      <c r="BY17" s="21"/>
      <c r="BZ17" s="11">
        <f t="shared" si="10"/>
        <v>0</v>
      </c>
      <c r="CB17" s="19"/>
      <c r="CC17" s="20"/>
      <c r="CD17" s="20"/>
      <c r="CE17" s="21"/>
      <c r="CF17" s="11">
        <f t="shared" si="11"/>
        <v>0</v>
      </c>
      <c r="CH17" s="19"/>
      <c r="CI17" s="20"/>
      <c r="CJ17" s="20"/>
      <c r="CK17" s="21"/>
      <c r="CL17" s="11">
        <f t="shared" si="12"/>
        <v>0</v>
      </c>
      <c r="CO17" s="19"/>
      <c r="CP17" s="20"/>
      <c r="CQ17" s="20"/>
      <c r="CR17" s="21"/>
      <c r="CS17" s="11">
        <f t="shared" si="13"/>
        <v>0</v>
      </c>
      <c r="CU17" s="37"/>
      <c r="CV17" s="18"/>
      <c r="CW17" s="18"/>
      <c r="CX17" s="18"/>
      <c r="CY17" s="38">
        <f t="shared" si="14"/>
        <v>0</v>
      </c>
      <c r="DA17" s="37"/>
      <c r="DB17" s="18"/>
      <c r="DC17" s="18"/>
      <c r="DD17" s="18"/>
      <c r="DE17" s="38">
        <f t="shared" si="15"/>
        <v>0</v>
      </c>
    </row>
    <row r="18" spans="1:109" x14ac:dyDescent="0.3">
      <c r="C18" s="19" t="s">
        <v>415</v>
      </c>
      <c r="D18" s="20"/>
      <c r="E18" s="20"/>
      <c r="F18" s="21"/>
      <c r="G18" s="11">
        <f t="shared" si="16"/>
        <v>0</v>
      </c>
      <c r="H18" s="19"/>
      <c r="I18" s="20"/>
      <c r="J18" s="20"/>
      <c r="K18" s="21"/>
      <c r="L18" s="11">
        <f t="shared" si="0"/>
        <v>0</v>
      </c>
      <c r="M18" s="1"/>
      <c r="N18" s="19"/>
      <c r="O18" s="20"/>
      <c r="P18" s="20"/>
      <c r="Q18" s="21"/>
      <c r="R18" s="11">
        <f t="shared" si="1"/>
        <v>0</v>
      </c>
      <c r="S18" s="1"/>
      <c r="T18" s="19"/>
      <c r="U18" s="20"/>
      <c r="V18" s="20"/>
      <c r="W18" s="21"/>
      <c r="X18" s="11">
        <f t="shared" si="2"/>
        <v>0</v>
      </c>
      <c r="Y18" s="1"/>
      <c r="Z18" s="19"/>
      <c r="AA18" s="20"/>
      <c r="AB18" s="20"/>
      <c r="AC18" s="21"/>
      <c r="AD18" s="11">
        <f t="shared" si="3"/>
        <v>0</v>
      </c>
      <c r="AE18" s="1"/>
      <c r="AF18" s="19"/>
      <c r="AG18" s="20"/>
      <c r="AH18" s="20"/>
      <c r="AI18" s="21"/>
      <c r="AJ18" s="11">
        <f t="shared" si="4"/>
        <v>0</v>
      </c>
      <c r="AK18" s="1"/>
      <c r="AL18" s="19"/>
      <c r="AM18" s="20"/>
      <c r="AN18" s="20"/>
      <c r="AO18" s="21"/>
      <c r="AP18" s="11"/>
      <c r="AQ18" s="1"/>
      <c r="AR18" s="1"/>
      <c r="AS18" s="1"/>
      <c r="AT18" s="1"/>
      <c r="AU18" s="1"/>
      <c r="AV18" s="1"/>
      <c r="AW18" s="1"/>
      <c r="AX18" s="19"/>
      <c r="AY18" s="20"/>
      <c r="AZ18" s="20"/>
      <c r="BA18" s="21"/>
      <c r="BB18" s="11">
        <f t="shared" si="6"/>
        <v>0</v>
      </c>
      <c r="BC18" s="1"/>
      <c r="BD18" s="19"/>
      <c r="BE18" s="20"/>
      <c r="BF18" s="20"/>
      <c r="BG18" s="21"/>
      <c r="BH18" s="11">
        <f t="shared" si="7"/>
        <v>0</v>
      </c>
      <c r="BI18" s="1"/>
      <c r="BJ18" s="19"/>
      <c r="BK18" s="20"/>
      <c r="BL18" s="20"/>
      <c r="BM18" s="21"/>
      <c r="BN18" s="11">
        <f t="shared" si="8"/>
        <v>0</v>
      </c>
      <c r="BP18" s="19"/>
      <c r="BQ18" s="20"/>
      <c r="BR18" s="20"/>
      <c r="BS18" s="21"/>
      <c r="BT18" s="11">
        <f t="shared" si="9"/>
        <v>0</v>
      </c>
      <c r="BV18" s="19"/>
      <c r="BW18" s="20"/>
      <c r="BX18" s="20"/>
      <c r="BY18" s="21"/>
      <c r="BZ18" s="11">
        <f t="shared" si="10"/>
        <v>0</v>
      </c>
      <c r="CB18" s="19" t="s">
        <v>222</v>
      </c>
      <c r="CC18" s="20"/>
      <c r="CD18" s="20"/>
      <c r="CE18" s="21"/>
      <c r="CF18" s="11">
        <f t="shared" si="11"/>
        <v>0</v>
      </c>
      <c r="CH18" s="19" t="s">
        <v>223</v>
      </c>
      <c r="CI18" s="20"/>
      <c r="CJ18" s="20"/>
      <c r="CK18" s="21"/>
      <c r="CL18" s="11">
        <f t="shared" si="12"/>
        <v>0</v>
      </c>
      <c r="CO18" s="19"/>
      <c r="CP18" s="20"/>
      <c r="CQ18" s="20"/>
      <c r="CR18" s="21"/>
      <c r="CS18" s="11">
        <f t="shared" si="13"/>
        <v>0</v>
      </c>
      <c r="CU18" s="37"/>
      <c r="CV18" s="18"/>
      <c r="CW18" s="18"/>
      <c r="CX18" s="18"/>
      <c r="CY18" s="38">
        <f t="shared" si="14"/>
        <v>0</v>
      </c>
      <c r="DA18" s="37"/>
      <c r="DB18" s="18"/>
      <c r="DC18" s="18"/>
      <c r="DD18" s="18"/>
      <c r="DE18" s="38">
        <f t="shared" si="15"/>
        <v>0</v>
      </c>
    </row>
    <row r="19" spans="1:109" ht="15" thickBot="1" x14ac:dyDescent="0.35">
      <c r="C19" s="19"/>
      <c r="D19" s="20"/>
      <c r="E19" s="20"/>
      <c r="F19" s="21"/>
      <c r="G19" s="11">
        <f t="shared" si="16"/>
        <v>0</v>
      </c>
      <c r="H19" s="22"/>
      <c r="I19" s="23"/>
      <c r="J19" s="23"/>
      <c r="K19" s="24"/>
      <c r="L19" s="25"/>
      <c r="M19" s="1"/>
      <c r="N19" s="22"/>
      <c r="O19" s="23"/>
      <c r="P19" s="23"/>
      <c r="Q19" s="24"/>
      <c r="R19" s="25"/>
      <c r="S19" s="1"/>
      <c r="T19" s="22"/>
      <c r="U19" s="23"/>
      <c r="V19" s="23"/>
      <c r="W19" s="24"/>
      <c r="X19" s="25"/>
      <c r="Y19" s="1"/>
      <c r="Z19" s="22"/>
      <c r="AA19" s="23"/>
      <c r="AB19" s="23"/>
      <c r="AC19" s="24"/>
      <c r="AD19" s="25"/>
      <c r="AE19" s="1"/>
      <c r="AF19" s="22"/>
      <c r="AG19" s="23"/>
      <c r="AH19" s="23"/>
      <c r="AI19" s="24"/>
      <c r="AJ19" s="25"/>
      <c r="AK19" s="1"/>
      <c r="AL19" s="22"/>
      <c r="AM19" s="23"/>
      <c r="AN19" s="23"/>
      <c r="AO19" s="24"/>
      <c r="AP19" s="25"/>
      <c r="AQ19" s="1"/>
      <c r="AR19" s="1"/>
      <c r="AS19" s="1"/>
      <c r="AT19" s="1"/>
      <c r="AU19" s="1"/>
      <c r="AV19" s="1"/>
      <c r="AW19" s="1"/>
      <c r="AX19" s="22"/>
      <c r="AY19" s="23"/>
      <c r="AZ19" s="23"/>
      <c r="BA19" s="24"/>
      <c r="BB19" s="25"/>
      <c r="BC19" s="1"/>
      <c r="BD19" s="22"/>
      <c r="BE19" s="23"/>
      <c r="BF19" s="23"/>
      <c r="BG19" s="24"/>
      <c r="BH19" s="25"/>
      <c r="BI19" s="1"/>
      <c r="BJ19" s="22"/>
      <c r="BK19" s="23"/>
      <c r="BL19" s="23"/>
      <c r="BM19" s="24"/>
      <c r="BN19" s="25"/>
      <c r="BP19" s="22"/>
      <c r="BQ19" s="23"/>
      <c r="BR19" s="23"/>
      <c r="BS19" s="24"/>
      <c r="BT19" s="25"/>
      <c r="BV19" s="22"/>
      <c r="BW19" s="23"/>
      <c r="BX19" s="23"/>
      <c r="BY19" s="24"/>
      <c r="BZ19" s="25"/>
      <c r="CB19" s="22">
        <v>3.105</v>
      </c>
      <c r="CC19" s="23"/>
      <c r="CD19" s="23"/>
      <c r="CE19" s="24"/>
      <c r="CF19" s="25"/>
      <c r="CH19" s="22" t="s">
        <v>221</v>
      </c>
      <c r="CI19" s="23">
        <v>2.1549999999999998</v>
      </c>
      <c r="CJ19" s="23"/>
      <c r="CK19" s="24"/>
      <c r="CL19" s="25"/>
      <c r="CO19" s="22"/>
      <c r="CP19" s="23"/>
      <c r="CQ19" s="23"/>
      <c r="CR19" s="24"/>
      <c r="CS19" s="25"/>
      <c r="CU19" s="44"/>
      <c r="CV19" s="24"/>
      <c r="CW19" s="24"/>
      <c r="CX19" s="24"/>
      <c r="CY19" s="25"/>
      <c r="DA19" s="44"/>
      <c r="DB19" s="24"/>
      <c r="DC19" s="24"/>
      <c r="DD19" s="24"/>
      <c r="DE19" s="25"/>
    </row>
    <row r="20" spans="1:109" ht="15" thickBot="1" x14ac:dyDescent="0.35">
      <c r="C20" s="22"/>
      <c r="D20" s="23"/>
      <c r="E20" s="23"/>
      <c r="F20" s="24"/>
      <c r="G20" s="25"/>
      <c r="H20" s="1"/>
      <c r="I20" s="1"/>
      <c r="J20" s="72" t="s">
        <v>26</v>
      </c>
      <c r="K20" s="73"/>
      <c r="L20" s="26">
        <f>SUM(L4:L19)</f>
        <v>3.1370000000000005</v>
      </c>
      <c r="M20" s="1"/>
      <c r="N20" s="1"/>
      <c r="O20" s="1"/>
      <c r="P20" s="72" t="s">
        <v>26</v>
      </c>
      <c r="Q20" s="73"/>
      <c r="R20" s="26">
        <f>SUM(R4:R19)</f>
        <v>3.2780000000000005</v>
      </c>
      <c r="S20" s="1"/>
      <c r="T20" s="1"/>
      <c r="U20" s="1"/>
      <c r="V20" s="72" t="s">
        <v>26</v>
      </c>
      <c r="W20" s="73"/>
      <c r="X20" s="26">
        <f>SUM(X4:X19)</f>
        <v>4.0766</v>
      </c>
      <c r="Y20" s="1"/>
      <c r="Z20" s="1"/>
      <c r="AA20" s="1"/>
      <c r="AB20" s="72" t="s">
        <v>26</v>
      </c>
      <c r="AC20" s="73"/>
      <c r="AD20" s="26">
        <f>SUM(AD4:AD19)</f>
        <v>11.3072</v>
      </c>
      <c r="AE20" s="1">
        <f>AD20/93</f>
        <v>0.12158279569892473</v>
      </c>
      <c r="AF20" s="1"/>
      <c r="AG20" s="1"/>
      <c r="AH20" s="72" t="s">
        <v>26</v>
      </c>
      <c r="AI20" s="73"/>
      <c r="AJ20" s="26">
        <f>SUM(AJ4:AJ19)</f>
        <v>5.7618</v>
      </c>
      <c r="AK20" s="1"/>
      <c r="AL20" s="1"/>
      <c r="AM20" s="1"/>
      <c r="AN20" s="72" t="s">
        <v>26</v>
      </c>
      <c r="AO20" s="73"/>
      <c r="AP20" s="26">
        <f>SUM(AP4:AP19)</f>
        <v>58.070440000000005</v>
      </c>
      <c r="AQ20" s="26">
        <f>SUM(AQ4:AQ19)</f>
        <v>0.15122510416666665</v>
      </c>
      <c r="AR20" s="26">
        <f>SUM(AR4:AR19)</f>
        <v>0.3024502083333333</v>
      </c>
      <c r="AS20" s="26">
        <f>SUM(AS4:AS19)</f>
        <v>7.5612552083333326E-2</v>
      </c>
      <c r="AT20" s="1"/>
      <c r="AU20" s="1"/>
      <c r="AV20" s="1"/>
      <c r="AW20" s="1"/>
      <c r="AX20" s="1"/>
      <c r="AY20" s="1"/>
      <c r="AZ20" s="72" t="s">
        <v>26</v>
      </c>
      <c r="BA20" s="73"/>
      <c r="BB20" s="26">
        <f>SUM(BB4:BB19)</f>
        <v>18.103439999999999</v>
      </c>
      <c r="BC20" s="1"/>
      <c r="BD20" s="1"/>
      <c r="BE20" s="1"/>
      <c r="BF20" s="72" t="s">
        <v>26</v>
      </c>
      <c r="BG20" s="73"/>
      <c r="BH20" s="26">
        <f>SUM(BH4:BH19)</f>
        <v>5.2515000000000001</v>
      </c>
      <c r="BI20" s="1"/>
      <c r="BJ20" s="1"/>
      <c r="BK20" s="1"/>
      <c r="BL20" s="72" t="s">
        <v>26</v>
      </c>
      <c r="BM20" s="73"/>
      <c r="BN20" s="26" t="e">
        <f>SUM(BN4:BN19)</f>
        <v>#VALUE!</v>
      </c>
      <c r="BP20" s="1"/>
      <c r="BQ20" s="1"/>
      <c r="BR20" s="72" t="s">
        <v>26</v>
      </c>
      <c r="BS20" s="73"/>
      <c r="BT20" s="26">
        <f>SUM(BT4:BT19)</f>
        <v>31.042199999999998</v>
      </c>
      <c r="BV20" s="1"/>
      <c r="BW20" s="1"/>
      <c r="BX20" s="72" t="s">
        <v>26</v>
      </c>
      <c r="BY20" s="73"/>
      <c r="BZ20" s="26">
        <f>SUM(BZ4:BZ19)</f>
        <v>34.642200000000003</v>
      </c>
      <c r="CB20" s="1"/>
      <c r="CC20" s="1"/>
      <c r="CD20" s="72" t="s">
        <v>26</v>
      </c>
      <c r="CE20" s="73"/>
      <c r="CF20" s="26">
        <f>SUM(CF4:CF19)</f>
        <v>45.198399999999999</v>
      </c>
      <c r="CH20" s="1"/>
      <c r="CI20" s="1"/>
      <c r="CJ20" s="72" t="s">
        <v>26</v>
      </c>
      <c r="CK20" s="73"/>
      <c r="CL20" s="26">
        <f>SUM(CL4:CL19)</f>
        <v>26.973800000000001</v>
      </c>
      <c r="CO20" s="1"/>
      <c r="CP20" s="1"/>
      <c r="CQ20" s="72" t="s">
        <v>26</v>
      </c>
      <c r="CR20" s="73"/>
      <c r="CS20" s="26">
        <f>SUM(CS4:CS19)</f>
        <v>37.042200000000001</v>
      </c>
      <c r="CU20" s="1"/>
      <c r="CV20" s="1"/>
      <c r="CW20" s="77" t="s">
        <v>26</v>
      </c>
      <c r="CX20" s="78"/>
      <c r="CY20" s="41">
        <f>SUM(CY4:CY19)</f>
        <v>17.850000000000001</v>
      </c>
      <c r="DA20" s="1"/>
      <c r="DB20" s="1"/>
      <c r="DC20" s="77" t="s">
        <v>26</v>
      </c>
      <c r="DD20" s="78"/>
      <c r="DE20" s="41">
        <f>SUM(DE4:DE19)</f>
        <v>4.9719999999999995</v>
      </c>
    </row>
    <row r="21" spans="1:109" ht="15" thickBot="1" x14ac:dyDescent="0.35">
      <c r="C21" s="1"/>
      <c r="D21" s="1"/>
      <c r="E21" s="72" t="s">
        <v>26</v>
      </c>
      <c r="F21" s="73"/>
      <c r="G21" s="26" t="e">
        <f>SUM(G5:G20)</f>
        <v>#REF!</v>
      </c>
      <c r="H21" s="1"/>
      <c r="I21" s="1"/>
      <c r="J21" s="72" t="s">
        <v>27</v>
      </c>
      <c r="K21" s="73"/>
      <c r="L21" s="26">
        <f>+L20*1.145</f>
        <v>3.5918650000000008</v>
      </c>
      <c r="M21" s="1"/>
      <c r="N21" s="1"/>
      <c r="O21" s="1"/>
      <c r="P21" s="72" t="s">
        <v>27</v>
      </c>
      <c r="Q21" s="73"/>
      <c r="R21" s="26">
        <f>+R20*1.145</f>
        <v>3.7533100000000008</v>
      </c>
      <c r="S21" s="1"/>
      <c r="T21" s="1"/>
      <c r="U21" s="1"/>
      <c r="V21" s="72" t="s">
        <v>27</v>
      </c>
      <c r="W21" s="73"/>
      <c r="X21" s="26">
        <f>+X20*1.145</f>
        <v>4.6677070000000001</v>
      </c>
      <c r="Y21" s="1"/>
      <c r="Z21" s="1"/>
      <c r="AA21" s="1"/>
      <c r="AB21" s="72" t="s">
        <v>27</v>
      </c>
      <c r="AC21" s="73"/>
      <c r="AD21" s="26">
        <f>+AD20*1.145</f>
        <v>12.946744000000001</v>
      </c>
      <c r="AE21" s="1">
        <f>AD21/93</f>
        <v>0.13921230107526883</v>
      </c>
      <c r="AF21" s="1"/>
      <c r="AG21" s="1"/>
      <c r="AH21" s="72" t="s">
        <v>27</v>
      </c>
      <c r="AI21" s="73"/>
      <c r="AJ21" s="26">
        <f>+AJ20*1.145</f>
        <v>6.5972610000000005</v>
      </c>
      <c r="AK21" s="26"/>
      <c r="AL21" s="1"/>
      <c r="AM21" s="1"/>
      <c r="AN21" s="72" t="s">
        <v>27</v>
      </c>
      <c r="AO21" s="73"/>
      <c r="AP21" s="26">
        <f>+AP20*1.145</f>
        <v>66.490653800000004</v>
      </c>
      <c r="AQ21" s="26">
        <f>+AQ20*1.145</f>
        <v>0.17315274427083333</v>
      </c>
      <c r="AR21" s="26">
        <f>+AR20*1.145</f>
        <v>0.34630548854166665</v>
      </c>
      <c r="AS21" s="26">
        <f>+AS20*1.145</f>
        <v>8.6576372135416663E-2</v>
      </c>
      <c r="AT21" s="1"/>
      <c r="AU21" s="1"/>
      <c r="AV21" s="1"/>
      <c r="AW21" s="1"/>
      <c r="AX21" s="1"/>
      <c r="AY21" s="1"/>
      <c r="AZ21" s="72" t="s">
        <v>27</v>
      </c>
      <c r="BA21" s="73"/>
      <c r="BB21" s="26">
        <f>+BB20*1.145</f>
        <v>20.728438799999999</v>
      </c>
      <c r="BC21" s="1"/>
      <c r="BD21" s="1"/>
      <c r="BE21" s="1"/>
      <c r="BF21" s="72" t="s">
        <v>27</v>
      </c>
      <c r="BG21" s="73"/>
      <c r="BH21" s="26">
        <f>+BH20*1.145</f>
        <v>6.0129675000000002</v>
      </c>
      <c r="BI21" s="1"/>
      <c r="BJ21" s="1"/>
      <c r="BK21" s="1"/>
      <c r="BL21" s="72" t="s">
        <v>27</v>
      </c>
      <c r="BM21" s="73"/>
      <c r="BN21" s="26" t="e">
        <f>+BN20*1.145</f>
        <v>#VALUE!</v>
      </c>
      <c r="BP21" s="1"/>
      <c r="BQ21" s="1"/>
      <c r="BR21" s="72" t="s">
        <v>27</v>
      </c>
      <c r="BS21" s="73"/>
      <c r="BT21" s="26">
        <f>+BT20*1.145</f>
        <v>35.543318999999997</v>
      </c>
      <c r="BV21" s="1"/>
      <c r="BW21" s="1"/>
      <c r="BX21" s="72" t="s">
        <v>27</v>
      </c>
      <c r="BY21" s="73"/>
      <c r="BZ21" s="26">
        <f>+BZ20*1.145</f>
        <v>39.665319000000004</v>
      </c>
      <c r="CB21" s="1"/>
      <c r="CC21" s="1"/>
      <c r="CD21" s="72" t="s">
        <v>27</v>
      </c>
      <c r="CE21" s="73"/>
      <c r="CF21" s="26">
        <f>+CF20*1.145</f>
        <v>51.752167999999998</v>
      </c>
      <c r="CG21">
        <f>CF21/38</f>
        <v>1.3618991578947368</v>
      </c>
      <c r="CH21" s="1"/>
      <c r="CI21" s="1"/>
      <c r="CJ21" s="72" t="s">
        <v>27</v>
      </c>
      <c r="CK21" s="73"/>
      <c r="CL21" s="26">
        <f>+CL20*1.145</f>
        <v>30.885001000000003</v>
      </c>
      <c r="CM21">
        <f>CL21/26</f>
        <v>1.187884653846154</v>
      </c>
      <c r="CO21" s="1"/>
      <c r="CP21" s="1"/>
      <c r="CQ21" s="72" t="s">
        <v>27</v>
      </c>
      <c r="CR21" s="73"/>
      <c r="CS21" s="26">
        <f>+CS20*1.145</f>
        <v>42.413319000000001</v>
      </c>
      <c r="CU21" s="1"/>
      <c r="CV21" s="1"/>
      <c r="CW21" s="72" t="s">
        <v>27</v>
      </c>
      <c r="CX21" s="73"/>
      <c r="CY21" s="26">
        <f>+CY20*1.145</f>
        <v>20.438250000000004</v>
      </c>
      <c r="DA21" s="1"/>
      <c r="DB21" s="1"/>
      <c r="DC21" s="72" t="s">
        <v>27</v>
      </c>
      <c r="DD21" s="73"/>
      <c r="DE21" s="26">
        <f>+DE20*1.145</f>
        <v>5.6929399999999992</v>
      </c>
    </row>
    <row r="22" spans="1:109" ht="15" thickBot="1" x14ac:dyDescent="0.35">
      <c r="C22" s="1"/>
      <c r="D22" s="1"/>
      <c r="E22" s="72" t="s">
        <v>27</v>
      </c>
      <c r="F22" s="73"/>
      <c r="G22" s="26" t="e">
        <f>+G21*1.145</f>
        <v>#REF!</v>
      </c>
      <c r="H22" s="1"/>
      <c r="I22" s="1"/>
      <c r="J22" s="72" t="s">
        <v>28</v>
      </c>
      <c r="K22" s="73"/>
      <c r="L22" s="26">
        <v>17</v>
      </c>
      <c r="M22" s="1"/>
      <c r="N22" s="1"/>
      <c r="O22" s="1"/>
      <c r="P22" s="72" t="s">
        <v>28</v>
      </c>
      <c r="Q22" s="73"/>
      <c r="R22" s="26">
        <v>10</v>
      </c>
      <c r="S22" s="1"/>
      <c r="T22" s="1"/>
      <c r="U22" s="1"/>
      <c r="V22" s="72" t="s">
        <v>28</v>
      </c>
      <c r="W22" s="73"/>
      <c r="X22" s="26">
        <v>12</v>
      </c>
      <c r="Y22" s="1"/>
      <c r="Z22" s="1"/>
      <c r="AA22" s="1"/>
      <c r="AB22" s="72" t="s">
        <v>28</v>
      </c>
      <c r="AC22" s="73"/>
      <c r="AD22" s="26">
        <v>112.5</v>
      </c>
      <c r="AE22" s="1">
        <v>0.6</v>
      </c>
      <c r="AF22" s="1"/>
      <c r="AG22" s="1"/>
      <c r="AH22" s="72" t="s">
        <v>28</v>
      </c>
      <c r="AI22" s="73"/>
      <c r="AJ22" s="26">
        <v>33.6</v>
      </c>
      <c r="AK22" s="26"/>
      <c r="AL22" s="1"/>
      <c r="AM22" s="1"/>
      <c r="AN22" s="72" t="s">
        <v>28</v>
      </c>
      <c r="AO22" s="73"/>
      <c r="AP22" s="26">
        <v>394</v>
      </c>
      <c r="AQ22" s="26">
        <v>1.5</v>
      </c>
      <c r="AR22" s="26">
        <v>1.5</v>
      </c>
      <c r="AS22" s="26">
        <v>0.7</v>
      </c>
      <c r="AT22" s="1"/>
      <c r="AU22" s="1"/>
      <c r="AV22" s="1"/>
      <c r="AW22" s="1"/>
      <c r="AX22" s="1"/>
      <c r="AY22" s="1"/>
      <c r="AZ22" s="72" t="s">
        <v>28</v>
      </c>
      <c r="BA22" s="73"/>
      <c r="BB22" s="26">
        <v>394</v>
      </c>
      <c r="BC22" s="1"/>
      <c r="BD22" s="1"/>
      <c r="BE22" s="1"/>
      <c r="BF22" s="72" t="s">
        <v>28</v>
      </c>
      <c r="BG22" s="73"/>
      <c r="BH22" s="26">
        <v>36</v>
      </c>
      <c r="BI22" s="1"/>
      <c r="BJ22" s="1"/>
      <c r="BK22" s="1"/>
      <c r="BL22" s="72" t="s">
        <v>28</v>
      </c>
      <c r="BM22" s="73"/>
      <c r="BN22" s="26">
        <v>60</v>
      </c>
      <c r="BP22" s="1"/>
      <c r="BQ22" s="1"/>
      <c r="BR22" s="72" t="s">
        <v>28</v>
      </c>
      <c r="BS22" s="73"/>
      <c r="BT22" s="26">
        <v>120</v>
      </c>
      <c r="BV22" s="1"/>
      <c r="BW22" s="1"/>
      <c r="BX22" s="72" t="s">
        <v>28</v>
      </c>
      <c r="BY22" s="73"/>
      <c r="BZ22" s="26">
        <v>140</v>
      </c>
      <c r="CB22" s="1"/>
      <c r="CC22" s="1"/>
      <c r="CD22" s="72" t="s">
        <v>28</v>
      </c>
      <c r="CE22" s="73"/>
      <c r="CF22" s="26">
        <v>60</v>
      </c>
      <c r="CH22" s="1"/>
      <c r="CI22" s="1"/>
      <c r="CJ22" s="72" t="s">
        <v>28</v>
      </c>
      <c r="CK22" s="73"/>
      <c r="CL22" s="26">
        <v>60</v>
      </c>
      <c r="CO22" s="1"/>
      <c r="CP22" s="1"/>
      <c r="CQ22" s="72" t="s">
        <v>28</v>
      </c>
      <c r="CR22" s="73"/>
      <c r="CS22" s="26">
        <v>140</v>
      </c>
      <c r="CU22" s="1"/>
      <c r="CV22" s="1"/>
      <c r="CW22" s="72" t="s">
        <v>28</v>
      </c>
      <c r="CX22" s="73"/>
      <c r="CY22" s="26">
        <v>36</v>
      </c>
      <c r="DA22" s="1"/>
      <c r="DB22" s="1"/>
      <c r="DC22" s="72" t="s">
        <v>28</v>
      </c>
      <c r="DD22" s="73"/>
      <c r="DE22" s="26">
        <v>58</v>
      </c>
    </row>
    <row r="23" spans="1:109" ht="15" thickBot="1" x14ac:dyDescent="0.35">
      <c r="C23" s="1"/>
      <c r="D23" s="1"/>
      <c r="E23" s="72" t="s">
        <v>28</v>
      </c>
      <c r="F23" s="73"/>
      <c r="G23" s="26">
        <v>24.25</v>
      </c>
      <c r="H23" s="1"/>
      <c r="I23" s="1"/>
      <c r="J23" s="72" t="s">
        <v>29</v>
      </c>
      <c r="K23" s="74"/>
      <c r="L23" s="27">
        <f>L21/L22*100</f>
        <v>21.128617647058828</v>
      </c>
      <c r="M23" s="1"/>
      <c r="N23" s="1"/>
      <c r="O23" s="1"/>
      <c r="P23" s="72" t="s">
        <v>29</v>
      </c>
      <c r="Q23" s="74"/>
      <c r="R23" s="27">
        <f>R21/R22*100</f>
        <v>37.533100000000005</v>
      </c>
      <c r="S23" s="1"/>
      <c r="T23" s="1"/>
      <c r="U23" s="1"/>
      <c r="V23" s="72" t="s">
        <v>29</v>
      </c>
      <c r="W23" s="74"/>
      <c r="X23" s="27">
        <f>X21/X22*100</f>
        <v>38.897558333333329</v>
      </c>
      <c r="Y23" s="1"/>
      <c r="Z23" s="1"/>
      <c r="AA23" s="1"/>
      <c r="AB23" s="72" t="s">
        <v>29</v>
      </c>
      <c r="AC23" s="74"/>
      <c r="AD23" s="27">
        <f>AD21/AD22*100</f>
        <v>11.508216888888889</v>
      </c>
      <c r="AE23" s="27">
        <f>AE21/AE22*100</f>
        <v>23.202050179211472</v>
      </c>
      <c r="AF23" s="1"/>
      <c r="AG23" s="1"/>
      <c r="AH23" s="72" t="s">
        <v>29</v>
      </c>
      <c r="AI23" s="74"/>
      <c r="AJ23" s="27">
        <f>AJ21/AJ22*100</f>
        <v>19.634705357142856</v>
      </c>
      <c r="AK23" s="27"/>
      <c r="AL23" s="1"/>
      <c r="AM23" s="1"/>
      <c r="AN23" s="72" t="s">
        <v>29</v>
      </c>
      <c r="AO23" s="74"/>
      <c r="AP23" s="27">
        <f>AP21/AP22*100</f>
        <v>16.875800456852794</v>
      </c>
      <c r="AQ23" s="27">
        <f>AQ21/AQ22*100</f>
        <v>11.543516284722221</v>
      </c>
      <c r="AR23" s="27">
        <f>AR21/AR22*100</f>
        <v>23.087032569444442</v>
      </c>
      <c r="AS23" s="27">
        <f>AS21/AS22*100</f>
        <v>12.368053162202381</v>
      </c>
      <c r="AT23" s="1"/>
      <c r="AU23" s="1"/>
      <c r="AV23" s="1"/>
      <c r="AW23" s="1"/>
      <c r="AX23" s="1"/>
      <c r="AY23" s="1"/>
      <c r="AZ23" s="72" t="s">
        <v>29</v>
      </c>
      <c r="BA23" s="74"/>
      <c r="BB23" s="27">
        <f>BB21/BB22*100</f>
        <v>5.2610250761421318</v>
      </c>
      <c r="BC23" s="1"/>
      <c r="BD23" s="1"/>
      <c r="BE23" s="1"/>
      <c r="BF23" s="72" t="s">
        <v>29</v>
      </c>
      <c r="BG23" s="74"/>
      <c r="BH23" s="27">
        <f>BH21/BH22*100</f>
        <v>16.702687500000003</v>
      </c>
      <c r="BI23" s="1"/>
      <c r="BJ23" s="1"/>
      <c r="BK23" s="1"/>
      <c r="BL23" s="72" t="s">
        <v>29</v>
      </c>
      <c r="BM23" s="74"/>
      <c r="BN23" s="27" t="e">
        <f>BN21/BN22*100</f>
        <v>#VALUE!</v>
      </c>
      <c r="BP23" s="1"/>
      <c r="BQ23" s="1"/>
      <c r="BR23" s="72" t="s">
        <v>29</v>
      </c>
      <c r="BS23" s="74"/>
      <c r="BT23" s="27">
        <f>BT21/BT22*100</f>
        <v>29.619432499999998</v>
      </c>
      <c r="BV23" s="1"/>
      <c r="BW23" s="1"/>
      <c r="BX23" s="72" t="s">
        <v>29</v>
      </c>
      <c r="BY23" s="74"/>
      <c r="BZ23" s="27">
        <f>BZ21/BZ22*100</f>
        <v>28.332370714285716</v>
      </c>
      <c r="CB23" s="1"/>
      <c r="CC23" s="1"/>
      <c r="CD23" s="72" t="s">
        <v>29</v>
      </c>
      <c r="CE23" s="74"/>
      <c r="CF23" s="27">
        <f>CF21/CF22*100</f>
        <v>86.253613333333334</v>
      </c>
      <c r="CH23" s="1"/>
      <c r="CI23" s="1"/>
      <c r="CJ23" s="72" t="s">
        <v>29</v>
      </c>
      <c r="CK23" s="74"/>
      <c r="CL23" s="27">
        <f>CL21/CL22*100</f>
        <v>51.475001666666678</v>
      </c>
      <c r="CO23" s="1"/>
      <c r="CP23" s="1"/>
      <c r="CQ23" s="72" t="s">
        <v>29</v>
      </c>
      <c r="CR23" s="74"/>
      <c r="CS23" s="27">
        <f>CS21/CS22*100</f>
        <v>30.295227857142859</v>
      </c>
      <c r="CU23" s="1"/>
      <c r="CV23" s="1"/>
      <c r="CW23" s="72" t="s">
        <v>29</v>
      </c>
      <c r="CX23" s="74"/>
      <c r="CY23" s="27">
        <f>CY21/CY22*100</f>
        <v>56.772916666666674</v>
      </c>
      <c r="DA23" s="1"/>
      <c r="DB23" s="1"/>
      <c r="DC23" s="72" t="s">
        <v>29</v>
      </c>
      <c r="DD23" s="74"/>
      <c r="DE23" s="27">
        <f>DE21/DE22*100</f>
        <v>9.8154137931034473</v>
      </c>
    </row>
    <row r="24" spans="1:109" ht="15" thickBot="1" x14ac:dyDescent="0.35">
      <c r="C24" s="1"/>
      <c r="D24" s="1"/>
      <c r="E24" s="72" t="s">
        <v>29</v>
      </c>
      <c r="F24" s="74"/>
      <c r="G24" s="27" t="e">
        <f>G22/G23*100</f>
        <v>#REF!</v>
      </c>
      <c r="H24" s="1"/>
      <c r="I24" s="1"/>
      <c r="J24" s="1"/>
      <c r="K24" s="28" t="s">
        <v>30</v>
      </c>
      <c r="L24" s="16">
        <f>100-L23</f>
        <v>78.871382352941168</v>
      </c>
      <c r="M24" s="1"/>
      <c r="N24" s="1"/>
      <c r="O24" s="1"/>
      <c r="P24" s="1"/>
      <c r="Q24" s="28" t="s">
        <v>30</v>
      </c>
      <c r="R24" s="16">
        <f>100-R23</f>
        <v>62.466899999999995</v>
      </c>
      <c r="S24" s="1"/>
      <c r="T24" s="1"/>
      <c r="U24" s="1"/>
      <c r="V24" s="1"/>
      <c r="W24" s="28" t="s">
        <v>30</v>
      </c>
      <c r="X24" s="16">
        <f>100-X23</f>
        <v>61.102441666666671</v>
      </c>
      <c r="Y24" s="1"/>
      <c r="Z24" s="1"/>
      <c r="AA24" s="1"/>
      <c r="AB24" s="1"/>
      <c r="AC24" s="28" t="s">
        <v>30</v>
      </c>
      <c r="AD24" s="16">
        <f>100-AD23</f>
        <v>88.491783111111118</v>
      </c>
      <c r="AE24" s="16">
        <f>100-AE23</f>
        <v>76.797949820788531</v>
      </c>
      <c r="AF24" s="1"/>
      <c r="AG24" s="1"/>
      <c r="AH24" s="1"/>
      <c r="AI24" s="28" t="s">
        <v>30</v>
      </c>
      <c r="AJ24" s="16">
        <f>100-AJ23</f>
        <v>80.365294642857151</v>
      </c>
      <c r="AK24" s="16"/>
      <c r="AL24" s="1"/>
      <c r="AM24" s="1"/>
      <c r="AN24" s="1"/>
      <c r="AO24" s="28" t="s">
        <v>30</v>
      </c>
      <c r="AP24" s="16">
        <f>100-AP23</f>
        <v>83.124199543147199</v>
      </c>
      <c r="AQ24" s="16">
        <f>100-AQ23</f>
        <v>88.456483715277784</v>
      </c>
      <c r="AR24" s="16">
        <f>100-AR23</f>
        <v>76.912967430555554</v>
      </c>
      <c r="AS24" s="16">
        <f>100-AS23</f>
        <v>87.631946837797614</v>
      </c>
      <c r="AT24" s="1"/>
      <c r="AU24" s="1"/>
      <c r="AV24" s="1"/>
      <c r="AW24" s="1"/>
      <c r="AX24" s="1"/>
      <c r="AY24" s="1"/>
      <c r="AZ24" s="1"/>
      <c r="BA24" s="66" t="s">
        <v>30</v>
      </c>
      <c r="BB24" s="67">
        <f>100-BB23</f>
        <v>94.738974923857867</v>
      </c>
      <c r="BC24" s="1"/>
      <c r="BD24" s="1"/>
      <c r="BE24" s="1"/>
      <c r="BF24" s="1"/>
      <c r="BG24" s="28" t="s">
        <v>30</v>
      </c>
      <c r="BH24" s="16">
        <f>100-BH23</f>
        <v>83.297312500000004</v>
      </c>
      <c r="BI24" s="1"/>
      <c r="BJ24" s="1"/>
      <c r="BK24" s="1"/>
      <c r="BL24" s="1"/>
      <c r="BM24" s="28" t="s">
        <v>30</v>
      </c>
      <c r="BN24" s="16" t="e">
        <f>100-BN23</f>
        <v>#VALUE!</v>
      </c>
      <c r="BP24" s="1"/>
      <c r="BQ24" s="1"/>
      <c r="BR24" s="1"/>
      <c r="BS24" s="28" t="s">
        <v>30</v>
      </c>
      <c r="BT24" s="16">
        <f>100-BT23</f>
        <v>70.380567499999998</v>
      </c>
      <c r="BV24" s="1"/>
      <c r="BW24" s="1"/>
      <c r="BX24" s="1"/>
      <c r="BY24" s="28" t="s">
        <v>30</v>
      </c>
      <c r="BZ24" s="16">
        <f>100-BZ23</f>
        <v>71.667629285714284</v>
      </c>
      <c r="CB24" s="1"/>
      <c r="CC24" s="1"/>
      <c r="CD24" s="1"/>
      <c r="CE24" s="28" t="s">
        <v>30</v>
      </c>
      <c r="CF24" s="16">
        <f>100-CF23</f>
        <v>13.746386666666666</v>
      </c>
      <c r="CH24" s="1"/>
      <c r="CI24" s="1"/>
      <c r="CJ24" s="1"/>
      <c r="CK24" s="28" t="s">
        <v>30</v>
      </c>
      <c r="CL24" s="16">
        <f>100-CL23</f>
        <v>48.524998333333322</v>
      </c>
      <c r="CO24" s="1"/>
      <c r="CP24" s="1"/>
      <c r="CQ24" s="1"/>
      <c r="CR24" s="28" t="s">
        <v>30</v>
      </c>
      <c r="CS24" s="16">
        <f>100-CS23</f>
        <v>69.704772142857138</v>
      </c>
      <c r="CU24" s="1"/>
      <c r="CV24" s="1"/>
      <c r="CW24" s="1"/>
      <c r="CX24" s="28" t="s">
        <v>30</v>
      </c>
      <c r="CY24" s="16">
        <f>100-CY23</f>
        <v>43.227083333333326</v>
      </c>
      <c r="DA24" s="1"/>
      <c r="DB24" s="1"/>
      <c r="DC24" s="1"/>
      <c r="DD24" s="28" t="s">
        <v>30</v>
      </c>
      <c r="DE24" s="16">
        <f>100-DE23</f>
        <v>90.184586206896554</v>
      </c>
    </row>
    <row r="25" spans="1:109" ht="15" thickBot="1" x14ac:dyDescent="0.35">
      <c r="C25" s="1"/>
      <c r="D25" s="1"/>
      <c r="E25" s="1"/>
      <c r="F25" s="28" t="s">
        <v>30</v>
      </c>
      <c r="G25" s="16" t="e">
        <f>100-G24</f>
        <v>#REF!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</row>
    <row r="26" spans="1:109" ht="15" thickBot="1" x14ac:dyDescent="0.35">
      <c r="AD26" s="69" t="s">
        <v>285</v>
      </c>
      <c r="AE26" s="70"/>
      <c r="AF26" s="70"/>
      <c r="AG26" s="70"/>
      <c r="AH26" s="71"/>
      <c r="AI26" s="1"/>
      <c r="AL26" s="69" t="s">
        <v>185</v>
      </c>
      <c r="AM26" s="70"/>
      <c r="AN26" s="70"/>
      <c r="AO26" s="70"/>
      <c r="AP26" s="71"/>
      <c r="AQ26" s="1"/>
      <c r="AX26" s="69" t="s">
        <v>315</v>
      </c>
      <c r="AY26" s="70"/>
      <c r="AZ26" s="70"/>
      <c r="BA26" s="70"/>
      <c r="BB26" s="71"/>
    </row>
    <row r="27" spans="1:109" ht="15" thickBot="1" x14ac:dyDescent="0.35">
      <c r="AD27" s="2" t="s">
        <v>3</v>
      </c>
      <c r="AE27" s="3" t="s">
        <v>4</v>
      </c>
      <c r="AF27" s="3" t="s">
        <v>5</v>
      </c>
      <c r="AG27" s="4" t="s">
        <v>6</v>
      </c>
      <c r="AH27" s="5" t="s">
        <v>7</v>
      </c>
      <c r="AI27" s="1"/>
      <c r="AL27" s="2" t="s">
        <v>3</v>
      </c>
      <c r="AM27" s="3" t="s">
        <v>4</v>
      </c>
      <c r="AN27" s="3" t="s">
        <v>5</v>
      </c>
      <c r="AO27" s="4" t="s">
        <v>6</v>
      </c>
      <c r="AP27" s="5" t="s">
        <v>7</v>
      </c>
      <c r="AQ27" s="1"/>
      <c r="AX27" s="2" t="s">
        <v>317</v>
      </c>
      <c r="AY27" s="3" t="s">
        <v>4</v>
      </c>
      <c r="AZ27" s="3" t="s">
        <v>5</v>
      </c>
      <c r="BA27" s="4" t="s">
        <v>6</v>
      </c>
      <c r="BB27" s="5" t="s">
        <v>7</v>
      </c>
      <c r="BD27" s="69" t="s">
        <v>310</v>
      </c>
      <c r="BE27" s="70"/>
      <c r="BF27" s="70"/>
      <c r="BG27" s="70"/>
      <c r="BH27" s="71"/>
      <c r="BJ27" s="69" t="s">
        <v>319</v>
      </c>
      <c r="BK27" s="70"/>
      <c r="BL27" s="70"/>
      <c r="BM27" s="70"/>
      <c r="BN27" s="71"/>
      <c r="BQ27" s="69" t="s">
        <v>320</v>
      </c>
      <c r="BR27" s="70"/>
      <c r="BS27" s="70"/>
      <c r="BT27" s="70"/>
      <c r="BU27" s="71"/>
      <c r="BW27" s="69" t="s">
        <v>326</v>
      </c>
      <c r="BX27" s="70"/>
      <c r="BY27" s="70"/>
      <c r="BZ27" s="70"/>
      <c r="CA27" s="71"/>
    </row>
    <row r="28" spans="1:109" ht="15" thickBot="1" x14ac:dyDescent="0.35">
      <c r="A28" s="69" t="s">
        <v>31</v>
      </c>
      <c r="B28" s="70"/>
      <c r="C28" s="70"/>
      <c r="D28" s="70"/>
      <c r="E28" s="71"/>
      <c r="F28" s="1"/>
      <c r="G28" s="69" t="s">
        <v>293</v>
      </c>
      <c r="H28" s="70"/>
      <c r="I28" s="70"/>
      <c r="J28" s="70"/>
      <c r="K28" s="71"/>
      <c r="L28" s="1"/>
      <c r="M28" s="69" t="s">
        <v>32</v>
      </c>
      <c r="N28" s="70"/>
      <c r="O28" s="70"/>
      <c r="P28" s="70"/>
      <c r="Q28" s="71"/>
      <c r="R28" s="1"/>
      <c r="S28" s="69" t="s">
        <v>83</v>
      </c>
      <c r="T28" s="70"/>
      <c r="U28" s="70"/>
      <c r="V28" s="70"/>
      <c r="W28" s="71"/>
      <c r="Y28" t="s">
        <v>297</v>
      </c>
      <c r="AD28" s="7" t="s">
        <v>286</v>
      </c>
      <c r="AE28" s="8" t="s">
        <v>34</v>
      </c>
      <c r="AF28" s="9">
        <v>12</v>
      </c>
      <c r="AG28" s="10">
        <v>0.75</v>
      </c>
      <c r="AH28" s="11">
        <f t="shared" ref="AH28:AH42" si="20">+AG28*AF28</f>
        <v>9</v>
      </c>
      <c r="AI28" s="1"/>
      <c r="AL28" s="7" t="s">
        <v>22</v>
      </c>
      <c r="AM28" s="8" t="s">
        <v>34</v>
      </c>
      <c r="AN28" s="9">
        <v>1</v>
      </c>
      <c r="AO28" s="10">
        <v>9</v>
      </c>
      <c r="AP28" s="11">
        <f t="shared" ref="AP28:AP42" si="21">+AO28*AN28</f>
        <v>9</v>
      </c>
      <c r="AQ28" s="1">
        <f>AP28/192</f>
        <v>4.6875E-2</v>
      </c>
      <c r="AX28" s="7" t="s">
        <v>10</v>
      </c>
      <c r="AY28" s="8" t="s">
        <v>34</v>
      </c>
      <c r="AZ28" s="9">
        <v>8.4700000000000006</v>
      </c>
      <c r="BA28" s="10">
        <v>0.315</v>
      </c>
      <c r="BB28" s="11">
        <f t="shared" ref="BB28:BB42" si="22">+BA28*AZ28</f>
        <v>2.66805</v>
      </c>
      <c r="BD28" s="2" t="s">
        <v>3</v>
      </c>
      <c r="BE28" s="3" t="s">
        <v>4</v>
      </c>
      <c r="BF28" s="3" t="s">
        <v>5</v>
      </c>
      <c r="BG28" s="4" t="s">
        <v>6</v>
      </c>
      <c r="BH28" s="5" t="s">
        <v>7</v>
      </c>
      <c r="BJ28" s="2" t="s">
        <v>3</v>
      </c>
      <c r="BK28" s="3" t="s">
        <v>4</v>
      </c>
      <c r="BL28" s="3" t="s">
        <v>5</v>
      </c>
      <c r="BM28" s="4" t="s">
        <v>6</v>
      </c>
      <c r="BN28" s="5" t="s">
        <v>7</v>
      </c>
      <c r="BQ28" s="2" t="s">
        <v>317</v>
      </c>
      <c r="BR28" s="3" t="s">
        <v>4</v>
      </c>
      <c r="BS28" s="3" t="s">
        <v>5</v>
      </c>
      <c r="BT28" s="4" t="s">
        <v>6</v>
      </c>
      <c r="BU28" s="5" t="s">
        <v>7</v>
      </c>
      <c r="BW28" s="2" t="s">
        <v>3</v>
      </c>
      <c r="BX28" s="3" t="s">
        <v>4</v>
      </c>
      <c r="BY28" s="3" t="s">
        <v>5</v>
      </c>
      <c r="BZ28" s="4" t="s">
        <v>6</v>
      </c>
      <c r="CA28" s="5" t="s">
        <v>7</v>
      </c>
    </row>
    <row r="29" spans="1:109" ht="15" thickBot="1" x14ac:dyDescent="0.35">
      <c r="A29" s="2" t="s">
        <v>3</v>
      </c>
      <c r="B29" s="3" t="s">
        <v>4</v>
      </c>
      <c r="C29" s="3" t="s">
        <v>5</v>
      </c>
      <c r="D29" s="4" t="s">
        <v>6</v>
      </c>
      <c r="E29" s="5" t="s">
        <v>7</v>
      </c>
      <c r="F29" s="1"/>
      <c r="G29" s="2" t="s">
        <v>3</v>
      </c>
      <c r="H29" s="3" t="s">
        <v>4</v>
      </c>
      <c r="I29" s="3" t="s">
        <v>5</v>
      </c>
      <c r="J29" s="4" t="s">
        <v>6</v>
      </c>
      <c r="K29" s="5" t="s">
        <v>7</v>
      </c>
      <c r="L29" s="1"/>
      <c r="M29" s="2" t="s">
        <v>3</v>
      </c>
      <c r="N29" s="3" t="s">
        <v>4</v>
      </c>
      <c r="O29" s="3" t="s">
        <v>5</v>
      </c>
      <c r="P29" s="4" t="s">
        <v>6</v>
      </c>
      <c r="Q29" s="5" t="s">
        <v>7</v>
      </c>
      <c r="R29" s="1"/>
      <c r="S29" s="2" t="s">
        <v>3</v>
      </c>
      <c r="T29" s="3" t="s">
        <v>4</v>
      </c>
      <c r="U29" s="3" t="s">
        <v>5</v>
      </c>
      <c r="V29" s="4" t="s">
        <v>6</v>
      </c>
      <c r="W29" s="5" t="s">
        <v>7</v>
      </c>
      <c r="Y29">
        <v>250</v>
      </c>
      <c r="AD29" s="15" t="s">
        <v>287</v>
      </c>
      <c r="AE29" s="16"/>
      <c r="AF29" s="17">
        <v>9.25</v>
      </c>
      <c r="AG29" s="18">
        <v>0.3</v>
      </c>
      <c r="AH29" s="11">
        <f t="shared" si="20"/>
        <v>2.7749999999999999</v>
      </c>
      <c r="AI29" s="1"/>
      <c r="AL29" s="15" t="s">
        <v>19</v>
      </c>
      <c r="AM29" s="16"/>
      <c r="AN29" s="17">
        <v>1.4999999999999999E-2</v>
      </c>
      <c r="AO29" s="18">
        <v>9</v>
      </c>
      <c r="AP29" s="11">
        <f t="shared" si="21"/>
        <v>0.13500000000000001</v>
      </c>
      <c r="AQ29" s="1">
        <f t="shared" ref="AQ29:AQ43" si="23">AP29/192</f>
        <v>7.0312500000000008E-4</v>
      </c>
      <c r="AX29" s="15" t="s">
        <v>313</v>
      </c>
      <c r="AY29" s="16"/>
      <c r="AZ29" s="17">
        <v>18.829999999999998</v>
      </c>
      <c r="BA29" s="18">
        <v>0.41499999999999998</v>
      </c>
      <c r="BB29" s="11">
        <f t="shared" si="22"/>
        <v>7.814449999999999</v>
      </c>
      <c r="BD29" s="7" t="s">
        <v>22</v>
      </c>
      <c r="BE29" s="8" t="s">
        <v>34</v>
      </c>
      <c r="BF29" s="9">
        <v>1</v>
      </c>
      <c r="BG29" s="10">
        <v>0.5</v>
      </c>
      <c r="BH29" s="11">
        <f t="shared" ref="BH29:BH37" si="24">+BG29*BF29</f>
        <v>0.5</v>
      </c>
      <c r="BJ29" s="15" t="s">
        <v>313</v>
      </c>
      <c r="BK29" s="16"/>
      <c r="BL29" s="17">
        <v>18.829999999999998</v>
      </c>
      <c r="BM29" s="18">
        <v>0.95</v>
      </c>
      <c r="BN29" s="11">
        <f t="shared" ref="BN29:BN38" si="25">+BM29*BL29</f>
        <v>17.888499999999997</v>
      </c>
      <c r="BQ29" s="7" t="s">
        <v>10</v>
      </c>
      <c r="BR29" s="8" t="s">
        <v>34</v>
      </c>
      <c r="BS29" s="9">
        <v>8.4700000000000006</v>
      </c>
      <c r="BT29" s="10">
        <v>0.5</v>
      </c>
      <c r="BU29" s="11">
        <f t="shared" ref="BU29:BU41" si="26">+BT29*BS29</f>
        <v>4.2350000000000003</v>
      </c>
      <c r="BW29" s="15" t="s">
        <v>327</v>
      </c>
      <c r="BX29" s="16"/>
      <c r="BY29" s="17">
        <v>18.829999999999998</v>
      </c>
      <c r="BZ29" s="18">
        <v>1.6E-2</v>
      </c>
      <c r="CA29" s="11">
        <f t="shared" ref="CA29" si="27">+BZ29*BY29</f>
        <v>0.30127999999999999</v>
      </c>
    </row>
    <row r="30" spans="1:109" x14ac:dyDescent="0.3">
      <c r="A30" s="7" t="s">
        <v>8</v>
      </c>
      <c r="B30" s="8" t="s">
        <v>11</v>
      </c>
      <c r="C30" s="9">
        <v>8.6999999999999993</v>
      </c>
      <c r="D30" s="10">
        <v>0.1</v>
      </c>
      <c r="E30" s="11">
        <f t="shared" ref="E30:E44" si="28">+D30*C30</f>
        <v>0.87</v>
      </c>
      <c r="F30" s="1"/>
      <c r="G30" s="7" t="s">
        <v>16</v>
      </c>
      <c r="H30" s="8" t="s">
        <v>11</v>
      </c>
      <c r="I30" s="9">
        <v>1</v>
      </c>
      <c r="J30" s="10">
        <v>1.5</v>
      </c>
      <c r="K30" s="11">
        <f t="shared" ref="K30:K36" si="29">+J30*I30</f>
        <v>1.5</v>
      </c>
      <c r="L30" s="1"/>
      <c r="M30" s="7" t="s">
        <v>8</v>
      </c>
      <c r="N30" s="8" t="s">
        <v>11</v>
      </c>
      <c r="O30" s="9">
        <v>8</v>
      </c>
      <c r="P30" s="10">
        <v>0.13</v>
      </c>
      <c r="Q30" s="11">
        <f t="shared" ref="Q30:Q44" si="30">+P30*O30</f>
        <v>1.04</v>
      </c>
      <c r="R30" s="1"/>
      <c r="S30" s="7" t="s">
        <v>90</v>
      </c>
      <c r="T30" s="8" t="s">
        <v>11</v>
      </c>
      <c r="U30" s="9">
        <v>0.15</v>
      </c>
      <c r="V30" s="10">
        <v>0.12</v>
      </c>
      <c r="W30" s="11">
        <f t="shared" ref="W30:W44" si="31">+V30*U30</f>
        <v>1.7999999999999999E-2</v>
      </c>
      <c r="AD30" s="15" t="s">
        <v>91</v>
      </c>
      <c r="AE30" s="16"/>
      <c r="AF30" s="17">
        <v>0.15</v>
      </c>
      <c r="AG30" s="18">
        <v>5</v>
      </c>
      <c r="AH30" s="11">
        <f t="shared" si="20"/>
        <v>0.75</v>
      </c>
      <c r="AI30" s="1"/>
      <c r="AL30" s="15" t="s">
        <v>35</v>
      </c>
      <c r="AM30" s="16"/>
      <c r="AN30" s="17">
        <v>1</v>
      </c>
      <c r="AO30" s="18">
        <v>1.3049999999999999</v>
      </c>
      <c r="AP30" s="11">
        <f t="shared" si="21"/>
        <v>1.3049999999999999</v>
      </c>
      <c r="AQ30" s="1">
        <f t="shared" si="23"/>
        <v>6.796875E-3</v>
      </c>
      <c r="AX30" s="15" t="s">
        <v>45</v>
      </c>
      <c r="AY30" s="16"/>
      <c r="AZ30" s="17">
        <v>1.08</v>
      </c>
      <c r="BA30" s="18">
        <v>0.12</v>
      </c>
      <c r="BB30" s="11">
        <f t="shared" si="22"/>
        <v>0.12959999999999999</v>
      </c>
      <c r="BD30" s="15" t="s">
        <v>298</v>
      </c>
      <c r="BE30" s="16"/>
      <c r="BF30" s="17">
        <v>3</v>
      </c>
      <c r="BG30" s="18">
        <v>0.15</v>
      </c>
      <c r="BH30" s="11">
        <f t="shared" si="24"/>
        <v>0.44999999999999996</v>
      </c>
      <c r="BJ30" s="15" t="s">
        <v>45</v>
      </c>
      <c r="BK30" s="16"/>
      <c r="BL30" s="17">
        <v>1.08</v>
      </c>
      <c r="BM30" s="18">
        <v>0.6</v>
      </c>
      <c r="BN30" s="11">
        <f t="shared" si="25"/>
        <v>0.64800000000000002</v>
      </c>
      <c r="BQ30" s="15" t="s">
        <v>45</v>
      </c>
      <c r="BR30" s="16"/>
      <c r="BS30" s="17">
        <v>1.08</v>
      </c>
      <c r="BT30" s="18">
        <v>1.2150000000000001</v>
      </c>
      <c r="BU30" s="11">
        <f t="shared" si="26"/>
        <v>1.3122000000000003</v>
      </c>
      <c r="BW30" s="15"/>
      <c r="BX30" s="16"/>
      <c r="BY30" s="17"/>
      <c r="BZ30" s="18"/>
      <c r="CA30" s="11"/>
    </row>
    <row r="31" spans="1:109" x14ac:dyDescent="0.3">
      <c r="A31" s="15" t="s">
        <v>33</v>
      </c>
      <c r="B31" s="16" t="s">
        <v>11</v>
      </c>
      <c r="C31" s="17">
        <v>1</v>
      </c>
      <c r="D31" s="18">
        <v>0.1</v>
      </c>
      <c r="E31" s="11">
        <f t="shared" si="28"/>
        <v>0.1</v>
      </c>
      <c r="F31" s="1"/>
      <c r="G31" s="15" t="s">
        <v>33</v>
      </c>
      <c r="H31" s="16" t="s">
        <v>11</v>
      </c>
      <c r="I31" s="17">
        <v>1</v>
      </c>
      <c r="J31" s="18">
        <v>0.24</v>
      </c>
      <c r="K31" s="11">
        <f t="shared" si="29"/>
        <v>0.24</v>
      </c>
      <c r="L31" s="1"/>
      <c r="M31" s="15" t="s">
        <v>19</v>
      </c>
      <c r="N31" s="16" t="s">
        <v>34</v>
      </c>
      <c r="O31" s="17">
        <v>0.15</v>
      </c>
      <c r="P31" s="18">
        <v>3</v>
      </c>
      <c r="Q31" s="11">
        <f t="shared" si="30"/>
        <v>0.44999999999999996</v>
      </c>
      <c r="R31" s="1"/>
      <c r="S31" s="15" t="s">
        <v>33</v>
      </c>
      <c r="T31" s="16" t="s">
        <v>11</v>
      </c>
      <c r="U31" s="17">
        <v>1</v>
      </c>
      <c r="V31" s="18">
        <v>0.2</v>
      </c>
      <c r="W31" s="11">
        <f t="shared" si="31"/>
        <v>0.2</v>
      </c>
      <c r="AD31" s="15" t="s">
        <v>289</v>
      </c>
      <c r="AE31" s="16"/>
      <c r="AF31" s="17">
        <v>0.125</v>
      </c>
      <c r="AG31" s="18">
        <v>0.125</v>
      </c>
      <c r="AH31" s="11">
        <f t="shared" si="20"/>
        <v>1.5625E-2</v>
      </c>
      <c r="AI31" s="1"/>
      <c r="AL31" s="15" t="s">
        <v>100</v>
      </c>
      <c r="AM31" s="16"/>
      <c r="AN31" s="17">
        <v>1.92</v>
      </c>
      <c r="AO31" s="18">
        <v>0.36</v>
      </c>
      <c r="AP31" s="11">
        <f t="shared" si="21"/>
        <v>0.69119999999999993</v>
      </c>
      <c r="AQ31" s="1">
        <f t="shared" si="23"/>
        <v>3.5999999999999995E-3</v>
      </c>
      <c r="AX31" s="15" t="s">
        <v>46</v>
      </c>
      <c r="AY31" s="16"/>
      <c r="AZ31" s="17">
        <v>4</v>
      </c>
      <c r="BA31" s="18">
        <v>1.7999999999999999E-2</v>
      </c>
      <c r="BB31" s="11">
        <f t="shared" si="22"/>
        <v>7.1999999999999995E-2</v>
      </c>
      <c r="BD31" s="15" t="s">
        <v>14</v>
      </c>
      <c r="BE31" s="16"/>
      <c r="BF31" s="17">
        <v>1</v>
      </c>
      <c r="BG31" s="18">
        <v>7.4999999999999997E-2</v>
      </c>
      <c r="BH31" s="11">
        <f t="shared" si="24"/>
        <v>7.4999999999999997E-2</v>
      </c>
      <c r="BJ31" s="15" t="s">
        <v>46</v>
      </c>
      <c r="BK31" s="16"/>
      <c r="BL31" s="17">
        <v>4</v>
      </c>
      <c r="BM31" s="18">
        <v>0.09</v>
      </c>
      <c r="BN31" s="11">
        <f t="shared" si="25"/>
        <v>0.36</v>
      </c>
      <c r="BQ31" s="15" t="s">
        <v>46</v>
      </c>
      <c r="BR31" s="16"/>
      <c r="BS31" s="17">
        <v>4</v>
      </c>
      <c r="BT31" s="18">
        <v>1.2999999999999999E-2</v>
      </c>
      <c r="BU31" s="11">
        <f t="shared" si="26"/>
        <v>5.1999999999999998E-2</v>
      </c>
      <c r="BW31" s="15"/>
      <c r="BX31" s="16"/>
      <c r="BY31" s="17"/>
      <c r="BZ31" s="18"/>
      <c r="CA31" s="11"/>
    </row>
    <row r="32" spans="1:109" x14ac:dyDescent="0.3">
      <c r="A32" s="15" t="s">
        <v>19</v>
      </c>
      <c r="B32" s="16" t="s">
        <v>34</v>
      </c>
      <c r="C32" s="17">
        <v>0.15</v>
      </c>
      <c r="D32" s="18">
        <v>2</v>
      </c>
      <c r="E32" s="11">
        <f t="shared" si="28"/>
        <v>0.3</v>
      </c>
      <c r="F32" s="1"/>
      <c r="G32" s="15" t="s">
        <v>19</v>
      </c>
      <c r="H32" s="16" t="s">
        <v>34</v>
      </c>
      <c r="I32" s="17">
        <v>0.15</v>
      </c>
      <c r="J32" s="18">
        <v>15</v>
      </c>
      <c r="K32" s="11">
        <f t="shared" si="29"/>
        <v>2.25</v>
      </c>
      <c r="L32" s="1"/>
      <c r="M32" s="15" t="s">
        <v>35</v>
      </c>
      <c r="N32" s="16" t="s">
        <v>11</v>
      </c>
      <c r="O32" s="17">
        <v>1</v>
      </c>
      <c r="P32" s="18">
        <v>0.115</v>
      </c>
      <c r="Q32" s="11">
        <f t="shared" si="30"/>
        <v>0.115</v>
      </c>
      <c r="R32" s="1"/>
      <c r="S32" s="15" t="s">
        <v>8</v>
      </c>
      <c r="T32" s="16" t="s">
        <v>11</v>
      </c>
      <c r="U32" s="17">
        <v>8.6999999999999993</v>
      </c>
      <c r="V32" s="18">
        <v>0.1</v>
      </c>
      <c r="W32" s="11">
        <f t="shared" si="31"/>
        <v>0.87</v>
      </c>
      <c r="AD32" s="15" t="s">
        <v>22</v>
      </c>
      <c r="AE32" s="16"/>
      <c r="AF32" s="17">
        <v>1</v>
      </c>
      <c r="AG32" s="18">
        <v>0.03</v>
      </c>
      <c r="AH32" s="11">
        <f t="shared" si="20"/>
        <v>0.03</v>
      </c>
      <c r="AI32" s="1"/>
      <c r="AL32" s="15" t="s">
        <v>10</v>
      </c>
      <c r="AM32" s="16"/>
      <c r="AN32" s="17">
        <v>8.4700000000000006</v>
      </c>
      <c r="AO32" s="18">
        <v>0.45</v>
      </c>
      <c r="AP32" s="11">
        <f t="shared" si="21"/>
        <v>3.8115000000000006</v>
      </c>
      <c r="AQ32" s="1">
        <f t="shared" si="23"/>
        <v>1.9851562500000003E-2</v>
      </c>
      <c r="AX32" s="15" t="s">
        <v>19</v>
      </c>
      <c r="AY32" s="16"/>
      <c r="AZ32" s="17">
        <v>0.3</v>
      </c>
      <c r="BA32" s="18">
        <v>10</v>
      </c>
      <c r="BB32" s="11">
        <f t="shared" si="22"/>
        <v>3</v>
      </c>
      <c r="BD32" s="15" t="s">
        <v>95</v>
      </c>
      <c r="BE32" s="16"/>
      <c r="BF32" s="17">
        <v>1.92</v>
      </c>
      <c r="BG32" s="18">
        <v>2.5000000000000001E-2</v>
      </c>
      <c r="BH32" s="11">
        <f t="shared" si="24"/>
        <v>4.8000000000000001E-2</v>
      </c>
      <c r="BJ32" s="15" t="s">
        <v>35</v>
      </c>
      <c r="BK32" s="16"/>
      <c r="BL32" s="17">
        <v>1</v>
      </c>
      <c r="BM32" s="18">
        <v>0.3</v>
      </c>
      <c r="BN32" s="11">
        <f t="shared" si="25"/>
        <v>0.3</v>
      </c>
      <c r="BQ32" s="15" t="s">
        <v>19</v>
      </c>
      <c r="BR32" s="16"/>
      <c r="BS32" s="17">
        <v>0.3</v>
      </c>
      <c r="BT32" s="18">
        <v>15</v>
      </c>
      <c r="BU32" s="11">
        <f t="shared" si="26"/>
        <v>4.5</v>
      </c>
      <c r="BW32" s="15"/>
      <c r="BX32" s="16"/>
      <c r="BY32" s="17"/>
      <c r="BZ32" s="18"/>
      <c r="CA32" s="11"/>
    </row>
    <row r="33" spans="1:79" x14ac:dyDescent="0.3">
      <c r="A33" s="15" t="s">
        <v>36</v>
      </c>
      <c r="B33" s="16" t="s">
        <v>11</v>
      </c>
      <c r="C33" s="17">
        <v>10.74</v>
      </c>
      <c r="D33" s="18">
        <v>0.1</v>
      </c>
      <c r="E33" s="11">
        <f t="shared" si="28"/>
        <v>1.0740000000000001</v>
      </c>
      <c r="F33" s="1"/>
      <c r="G33" s="15" t="s">
        <v>37</v>
      </c>
      <c r="H33" s="16" t="s">
        <v>38</v>
      </c>
      <c r="I33" s="17">
        <v>1.35</v>
      </c>
      <c r="J33" s="18">
        <v>0.22500000000000001</v>
      </c>
      <c r="K33" s="11">
        <f t="shared" si="29"/>
        <v>0.30375000000000002</v>
      </c>
      <c r="L33" s="1"/>
      <c r="M33" s="15" t="s">
        <v>39</v>
      </c>
      <c r="N33" s="16" t="s">
        <v>11</v>
      </c>
      <c r="O33" s="17">
        <v>8</v>
      </c>
      <c r="P33" s="18">
        <v>0.02</v>
      </c>
      <c r="Q33" s="11">
        <f t="shared" si="30"/>
        <v>0.16</v>
      </c>
      <c r="R33" s="1"/>
      <c r="S33" s="15" t="s">
        <v>39</v>
      </c>
      <c r="T33" s="16" t="s">
        <v>11</v>
      </c>
      <c r="U33" s="17">
        <v>8</v>
      </c>
      <c r="V33" s="18">
        <v>0.1</v>
      </c>
      <c r="W33" s="11">
        <f t="shared" si="31"/>
        <v>0.8</v>
      </c>
      <c r="AD33" s="15"/>
      <c r="AE33" s="16"/>
      <c r="AF33" s="17"/>
      <c r="AG33" s="18"/>
      <c r="AH33" s="11">
        <f t="shared" si="20"/>
        <v>0</v>
      </c>
      <c r="AI33" s="1"/>
      <c r="AL33" s="15" t="s">
        <v>104</v>
      </c>
      <c r="AM33" s="16"/>
      <c r="AN33" s="17">
        <v>9</v>
      </c>
      <c r="AO33" s="18">
        <v>1.4999999999999999E-2</v>
      </c>
      <c r="AP33" s="11">
        <f t="shared" si="21"/>
        <v>0.13500000000000001</v>
      </c>
      <c r="AQ33" s="1">
        <f t="shared" si="23"/>
        <v>7.0312500000000008E-4</v>
      </c>
      <c r="AX33" s="15" t="s">
        <v>35</v>
      </c>
      <c r="AY33" s="16"/>
      <c r="AZ33" s="17">
        <v>1</v>
      </c>
      <c r="BA33" s="18">
        <v>0.32200000000000001</v>
      </c>
      <c r="BB33" s="11">
        <f t="shared" si="22"/>
        <v>0.32200000000000001</v>
      </c>
      <c r="BD33" s="15" t="s">
        <v>24</v>
      </c>
      <c r="BE33" s="16"/>
      <c r="BF33" s="17">
        <v>0.02</v>
      </c>
      <c r="BG33" s="18">
        <v>5.0000000000000001E-3</v>
      </c>
      <c r="BH33" s="11">
        <f t="shared" si="24"/>
        <v>1E-4</v>
      </c>
      <c r="BJ33" s="19" t="s">
        <v>19</v>
      </c>
      <c r="BK33" s="20"/>
      <c r="BL33" s="20">
        <v>0.3</v>
      </c>
      <c r="BM33" s="21">
        <v>5</v>
      </c>
      <c r="BN33" s="11">
        <f t="shared" si="25"/>
        <v>1.5</v>
      </c>
      <c r="BQ33" s="15" t="s">
        <v>35</v>
      </c>
      <c r="BR33" s="16"/>
      <c r="BS33" s="17">
        <v>1</v>
      </c>
      <c r="BT33" s="18">
        <v>1.5</v>
      </c>
      <c r="BU33" s="11">
        <f t="shared" si="26"/>
        <v>1.5</v>
      </c>
      <c r="BW33" s="19"/>
      <c r="BX33" s="20"/>
      <c r="BY33" s="20"/>
      <c r="BZ33" s="21"/>
      <c r="CA33" s="11"/>
    </row>
    <row r="34" spans="1:79" x14ac:dyDescent="0.3">
      <c r="A34" s="15" t="s">
        <v>40</v>
      </c>
      <c r="B34" s="17" t="s">
        <v>41</v>
      </c>
      <c r="C34" s="17" t="s">
        <v>41</v>
      </c>
      <c r="D34" s="18"/>
      <c r="E34" s="11"/>
      <c r="F34" s="1"/>
      <c r="G34" s="15" t="s">
        <v>42</v>
      </c>
      <c r="H34" s="16" t="s">
        <v>11</v>
      </c>
      <c r="I34" s="17">
        <v>1.92</v>
      </c>
      <c r="J34" s="18">
        <v>6.6000000000000003E-2</v>
      </c>
      <c r="K34" s="11">
        <f t="shared" si="29"/>
        <v>0.12672</v>
      </c>
      <c r="L34" s="1"/>
      <c r="M34" s="15" t="s">
        <v>43</v>
      </c>
      <c r="N34" s="16" t="s">
        <v>44</v>
      </c>
      <c r="O34" s="17"/>
      <c r="P34" s="18">
        <v>0.01</v>
      </c>
      <c r="Q34" s="11">
        <f t="shared" si="30"/>
        <v>0</v>
      </c>
      <c r="R34" s="1"/>
      <c r="S34" s="15" t="s">
        <v>45</v>
      </c>
      <c r="T34" s="16" t="s">
        <v>9</v>
      </c>
      <c r="U34" s="17">
        <v>1</v>
      </c>
      <c r="V34" s="18">
        <v>0.01</v>
      </c>
      <c r="W34" s="11">
        <f t="shared" si="31"/>
        <v>0.01</v>
      </c>
      <c r="AD34" s="15"/>
      <c r="AE34" s="16"/>
      <c r="AF34" s="17"/>
      <c r="AG34" s="18"/>
      <c r="AH34" s="11">
        <f t="shared" si="20"/>
        <v>0</v>
      </c>
      <c r="AI34" s="1"/>
      <c r="AL34" s="15" t="s">
        <v>24</v>
      </c>
      <c r="AM34" s="16"/>
      <c r="AN34" s="17">
        <v>0.02</v>
      </c>
      <c r="AO34" s="18">
        <v>0.16200000000000001</v>
      </c>
      <c r="AP34" s="11">
        <f t="shared" si="21"/>
        <v>3.2400000000000003E-3</v>
      </c>
      <c r="AQ34" s="1">
        <f t="shared" si="23"/>
        <v>1.6875E-5</v>
      </c>
      <c r="AX34" s="15" t="s">
        <v>314</v>
      </c>
      <c r="AY34" s="16"/>
      <c r="AZ34" s="17">
        <v>2.8</v>
      </c>
      <c r="BA34" s="18">
        <v>0.1</v>
      </c>
      <c r="BB34" s="11">
        <f t="shared" si="22"/>
        <v>0.27999999999999997</v>
      </c>
      <c r="BD34" s="15" t="s">
        <v>311</v>
      </c>
      <c r="BE34" s="16"/>
      <c r="BF34" s="17">
        <v>1.35</v>
      </c>
      <c r="BG34" s="18">
        <v>0.25</v>
      </c>
      <c r="BH34" s="11">
        <f t="shared" si="24"/>
        <v>0.33750000000000002</v>
      </c>
      <c r="BJ34" s="19" t="s">
        <v>23</v>
      </c>
      <c r="BK34" s="20"/>
      <c r="BL34" s="20">
        <v>1.7</v>
      </c>
      <c r="BM34" s="21">
        <v>0.08</v>
      </c>
      <c r="BN34" s="11">
        <f t="shared" si="25"/>
        <v>0.13600000000000001</v>
      </c>
      <c r="BQ34" s="15" t="s">
        <v>145</v>
      </c>
      <c r="BR34" s="16"/>
      <c r="BS34" s="17">
        <v>2</v>
      </c>
      <c r="BT34" s="18">
        <v>2</v>
      </c>
      <c r="BU34" s="11">
        <f t="shared" si="26"/>
        <v>4</v>
      </c>
      <c r="BW34" s="19"/>
      <c r="BX34" s="20"/>
      <c r="BY34" s="20"/>
      <c r="BZ34" s="21"/>
      <c r="CA34" s="11"/>
    </row>
    <row r="35" spans="1:79" x14ac:dyDescent="0.3">
      <c r="A35" s="15"/>
      <c r="B35" s="16"/>
      <c r="C35" s="17"/>
      <c r="D35" s="18"/>
      <c r="E35" s="11">
        <f t="shared" si="28"/>
        <v>0</v>
      </c>
      <c r="F35" s="1"/>
      <c r="G35" s="15" t="s">
        <v>8</v>
      </c>
      <c r="H35" s="16" t="s">
        <v>11</v>
      </c>
      <c r="I35" s="17">
        <v>9.43</v>
      </c>
      <c r="J35" s="18">
        <v>0.22500000000000001</v>
      </c>
      <c r="K35" s="11">
        <f t="shared" si="29"/>
        <v>2.12175</v>
      </c>
      <c r="L35" s="1"/>
      <c r="M35" s="15" t="s">
        <v>45</v>
      </c>
      <c r="N35" s="16" t="s">
        <v>11</v>
      </c>
      <c r="O35" s="17">
        <v>1</v>
      </c>
      <c r="P35" s="18">
        <v>0.15</v>
      </c>
      <c r="Q35" s="11">
        <f t="shared" si="30"/>
        <v>0.15</v>
      </c>
      <c r="R35" s="1"/>
      <c r="S35" s="15" t="s">
        <v>103</v>
      </c>
      <c r="T35" s="16" t="s">
        <v>11</v>
      </c>
      <c r="U35" s="17">
        <v>12.39</v>
      </c>
      <c r="V35" s="18">
        <v>0.1</v>
      </c>
      <c r="W35" s="11">
        <f t="shared" si="31"/>
        <v>1.2390000000000001</v>
      </c>
      <c r="AD35" s="15"/>
      <c r="AE35" s="16"/>
      <c r="AF35" s="17"/>
      <c r="AG35" s="18"/>
      <c r="AH35" s="11">
        <f t="shared" si="20"/>
        <v>0</v>
      </c>
      <c r="AI35" s="1"/>
      <c r="AL35" s="15" t="s">
        <v>12</v>
      </c>
      <c r="AM35" s="16"/>
      <c r="AN35" s="17">
        <v>1.35</v>
      </c>
      <c r="AO35" s="18">
        <v>2.25</v>
      </c>
      <c r="AP35" s="11">
        <f t="shared" si="21"/>
        <v>3.0375000000000001</v>
      </c>
      <c r="AQ35" s="1">
        <f t="shared" si="23"/>
        <v>1.5820312499999999E-2</v>
      </c>
      <c r="AX35" s="15" t="s">
        <v>10</v>
      </c>
      <c r="AY35" s="16"/>
      <c r="AZ35" s="17">
        <v>8.4700000000000006</v>
      </c>
      <c r="BA35" s="18">
        <v>0.1</v>
      </c>
      <c r="BB35" s="11">
        <f t="shared" si="22"/>
        <v>0.84700000000000009</v>
      </c>
      <c r="BD35" s="15" t="s">
        <v>10</v>
      </c>
      <c r="BE35" s="16"/>
      <c r="BF35" s="17">
        <v>8.4700000000000006</v>
      </c>
      <c r="BG35" s="18">
        <v>0.06</v>
      </c>
      <c r="BH35" s="11">
        <f t="shared" si="24"/>
        <v>0.50819999999999999</v>
      </c>
      <c r="BJ35" s="19" t="s">
        <v>318</v>
      </c>
      <c r="BK35" s="20"/>
      <c r="BL35" s="20">
        <v>18</v>
      </c>
      <c r="BM35" s="21">
        <v>0.15</v>
      </c>
      <c r="BN35" s="11">
        <f t="shared" si="25"/>
        <v>2.6999999999999997</v>
      </c>
      <c r="BQ35" s="15" t="s">
        <v>314</v>
      </c>
      <c r="BR35" s="16"/>
      <c r="BS35" s="17">
        <v>2.8</v>
      </c>
      <c r="BT35" s="18">
        <v>0.1</v>
      </c>
      <c r="BU35" s="11">
        <f t="shared" si="26"/>
        <v>0.27999999999999997</v>
      </c>
      <c r="BW35" s="19"/>
      <c r="BX35" s="20"/>
      <c r="BY35" s="20"/>
      <c r="BZ35" s="21"/>
      <c r="CA35" s="11"/>
    </row>
    <row r="36" spans="1:79" x14ac:dyDescent="0.3">
      <c r="A36" s="15"/>
      <c r="B36" s="16"/>
      <c r="C36" s="17"/>
      <c r="D36" s="18"/>
      <c r="E36" s="11">
        <f t="shared" si="28"/>
        <v>0</v>
      </c>
      <c r="F36" s="1"/>
      <c r="G36" s="15" t="s">
        <v>24</v>
      </c>
      <c r="H36" s="16"/>
      <c r="I36" s="17">
        <v>0.02</v>
      </c>
      <c r="J36" s="18">
        <v>5.0000000000000001E-3</v>
      </c>
      <c r="K36" s="11">
        <f t="shared" si="29"/>
        <v>1E-4</v>
      </c>
      <c r="L36" s="1"/>
      <c r="M36" s="15" t="s">
        <v>46</v>
      </c>
      <c r="N36" s="16" t="s">
        <v>11</v>
      </c>
      <c r="O36" s="17">
        <v>4</v>
      </c>
      <c r="P36" s="18">
        <v>8.0000000000000002E-3</v>
      </c>
      <c r="Q36" s="11">
        <f t="shared" si="30"/>
        <v>3.2000000000000001E-2</v>
      </c>
      <c r="R36" s="1"/>
      <c r="S36" s="15"/>
      <c r="T36" s="16"/>
      <c r="U36" s="17"/>
      <c r="V36" s="18"/>
      <c r="W36" s="11">
        <f t="shared" si="31"/>
        <v>0</v>
      </c>
      <c r="AD36" s="19"/>
      <c r="AE36" s="20"/>
      <c r="AF36" s="20"/>
      <c r="AG36" s="21"/>
      <c r="AH36" s="11">
        <f t="shared" si="20"/>
        <v>0</v>
      </c>
      <c r="AI36" s="1"/>
      <c r="AL36" s="19" t="s">
        <v>10</v>
      </c>
      <c r="AM36" s="20"/>
      <c r="AN36" s="20">
        <v>8.4700000000000006</v>
      </c>
      <c r="AO36" s="21">
        <v>4</v>
      </c>
      <c r="AP36" s="11">
        <f t="shared" si="21"/>
        <v>33.880000000000003</v>
      </c>
      <c r="AQ36" s="1">
        <f t="shared" si="23"/>
        <v>0.17645833333333336</v>
      </c>
      <c r="AX36" s="19" t="s">
        <v>35</v>
      </c>
      <c r="AY36" s="20"/>
      <c r="AZ36" s="20">
        <v>1</v>
      </c>
      <c r="BA36" s="21">
        <v>0.16</v>
      </c>
      <c r="BB36" s="11">
        <f t="shared" si="22"/>
        <v>0.16</v>
      </c>
      <c r="BD36" s="15" t="s">
        <v>245</v>
      </c>
      <c r="BE36" s="16"/>
      <c r="BF36" s="17">
        <v>0.3</v>
      </c>
      <c r="BG36" s="18">
        <v>1</v>
      </c>
      <c r="BH36" s="11">
        <f t="shared" si="24"/>
        <v>0.3</v>
      </c>
      <c r="BJ36" s="19" t="s">
        <v>156</v>
      </c>
      <c r="BK36" s="20"/>
      <c r="BL36" s="20">
        <v>1.55</v>
      </c>
      <c r="BM36" s="21">
        <v>0.5</v>
      </c>
      <c r="BN36" s="11">
        <f t="shared" si="25"/>
        <v>0.77500000000000002</v>
      </c>
      <c r="BQ36" s="15" t="s">
        <v>324</v>
      </c>
      <c r="BR36" s="16"/>
      <c r="BS36" s="17">
        <v>15</v>
      </c>
      <c r="BT36" s="18">
        <v>0.5</v>
      </c>
      <c r="BU36" s="11">
        <f t="shared" si="26"/>
        <v>7.5</v>
      </c>
      <c r="BW36" s="19"/>
      <c r="BX36" s="20"/>
      <c r="BY36" s="20"/>
      <c r="BZ36" s="21"/>
      <c r="CA36" s="11"/>
    </row>
    <row r="37" spans="1:79" x14ac:dyDescent="0.3">
      <c r="A37" s="15"/>
      <c r="B37" s="16"/>
      <c r="C37" s="17"/>
      <c r="D37" s="18"/>
      <c r="E37" s="11">
        <f t="shared" si="28"/>
        <v>0</v>
      </c>
      <c r="F37" s="1"/>
      <c r="G37" s="15"/>
      <c r="H37" s="16"/>
      <c r="I37" s="17"/>
      <c r="J37" s="18"/>
      <c r="K37" s="11"/>
      <c r="L37" s="1"/>
      <c r="M37" s="15" t="s">
        <v>24</v>
      </c>
      <c r="N37" s="16" t="s">
        <v>11</v>
      </c>
      <c r="O37" s="17">
        <v>0.02</v>
      </c>
      <c r="P37" s="18">
        <v>2E-3</v>
      </c>
      <c r="Q37" s="11">
        <f t="shared" si="30"/>
        <v>4.0000000000000003E-5</v>
      </c>
      <c r="R37" s="1"/>
      <c r="S37" s="15"/>
      <c r="T37" s="16"/>
      <c r="U37" s="17"/>
      <c r="V37" s="18"/>
      <c r="W37" s="11">
        <f t="shared" si="31"/>
        <v>0</v>
      </c>
      <c r="AD37" s="19"/>
      <c r="AE37" s="20"/>
      <c r="AF37" s="20"/>
      <c r="AG37" s="21"/>
      <c r="AH37" s="11">
        <f t="shared" si="20"/>
        <v>0</v>
      </c>
      <c r="AI37" s="1"/>
      <c r="AL37" s="19" t="s">
        <v>186</v>
      </c>
      <c r="AM37" s="20"/>
      <c r="AN37" s="20">
        <v>8.9329999999999998</v>
      </c>
      <c r="AO37" s="21">
        <v>153.6</v>
      </c>
      <c r="AP37" s="11"/>
      <c r="AQ37" s="1">
        <v>0.08</v>
      </c>
      <c r="AR37" t="s">
        <v>188</v>
      </c>
      <c r="AX37" s="19" t="s">
        <v>19</v>
      </c>
      <c r="AY37" s="20"/>
      <c r="AZ37" s="20">
        <v>0.3</v>
      </c>
      <c r="BA37" s="21">
        <v>4</v>
      </c>
      <c r="BB37" s="11">
        <f t="shared" si="22"/>
        <v>1.2</v>
      </c>
      <c r="BD37" s="19" t="s">
        <v>312</v>
      </c>
      <c r="BE37" s="20"/>
      <c r="BF37" s="20">
        <v>1</v>
      </c>
      <c r="BG37" s="21">
        <v>2.5000000000000001E-2</v>
      </c>
      <c r="BH37" s="11">
        <f t="shared" si="24"/>
        <v>2.5000000000000001E-2</v>
      </c>
      <c r="BJ37" s="19" t="s">
        <v>12</v>
      </c>
      <c r="BK37" s="20"/>
      <c r="BL37" s="20">
        <v>1.35</v>
      </c>
      <c r="BM37" s="21">
        <v>0.5</v>
      </c>
      <c r="BN37" s="11">
        <f t="shared" si="25"/>
        <v>0.67500000000000004</v>
      </c>
      <c r="BQ37" s="19" t="s">
        <v>156</v>
      </c>
      <c r="BR37" s="20"/>
      <c r="BS37" s="20">
        <v>1.55</v>
      </c>
      <c r="BT37" s="21">
        <v>0.94</v>
      </c>
      <c r="BU37" s="11">
        <f t="shared" si="26"/>
        <v>1.4569999999999999</v>
      </c>
      <c r="BW37" s="19"/>
      <c r="BX37" s="20"/>
      <c r="BY37" s="20"/>
      <c r="BZ37" s="21"/>
      <c r="CA37" s="11"/>
    </row>
    <row r="38" spans="1:79" x14ac:dyDescent="0.3">
      <c r="A38" s="19"/>
      <c r="B38" s="20"/>
      <c r="C38" s="20"/>
      <c r="D38" s="21"/>
      <c r="E38" s="11">
        <f t="shared" si="28"/>
        <v>0</v>
      </c>
      <c r="F38" s="1"/>
      <c r="G38" s="19"/>
      <c r="H38" s="20"/>
      <c r="I38" s="20"/>
      <c r="J38" s="21"/>
      <c r="K38" s="11"/>
      <c r="L38" s="1"/>
      <c r="M38" s="19"/>
      <c r="N38" s="20"/>
      <c r="O38" s="20"/>
      <c r="P38" s="21"/>
      <c r="Q38" s="11">
        <f t="shared" si="30"/>
        <v>0</v>
      </c>
      <c r="R38" s="1"/>
      <c r="S38" s="19"/>
      <c r="T38" s="20"/>
      <c r="U38" s="20"/>
      <c r="V38" s="21"/>
      <c r="W38" s="11">
        <f t="shared" si="31"/>
        <v>0</v>
      </c>
      <c r="AD38" s="19"/>
      <c r="AE38" s="20"/>
      <c r="AF38" s="20"/>
      <c r="AG38" s="21"/>
      <c r="AH38" s="11">
        <f t="shared" si="20"/>
        <v>0</v>
      </c>
      <c r="AI38" s="1"/>
      <c r="AL38" s="19" t="s">
        <v>187</v>
      </c>
      <c r="AM38" s="20"/>
      <c r="AN38" s="20"/>
      <c r="AO38" s="21">
        <v>0.1</v>
      </c>
      <c r="AP38" s="11">
        <f t="shared" si="21"/>
        <v>0</v>
      </c>
      <c r="AQ38" s="1">
        <f t="shared" si="23"/>
        <v>0</v>
      </c>
      <c r="AX38" s="19" t="s">
        <v>23</v>
      </c>
      <c r="AY38" s="20"/>
      <c r="AZ38" s="20">
        <v>1.7</v>
      </c>
      <c r="BA38" s="21">
        <v>2.4E-2</v>
      </c>
      <c r="BB38" s="11">
        <f t="shared" si="22"/>
        <v>4.0800000000000003E-2</v>
      </c>
      <c r="BD38" s="19"/>
      <c r="BE38" s="20"/>
      <c r="BF38" s="20"/>
      <c r="BG38" s="21"/>
      <c r="BH38" s="11">
        <f t="shared" ref="BH38:BH43" si="32">+BG38*BF38</f>
        <v>0</v>
      </c>
      <c r="BJ38" s="19" t="s">
        <v>181</v>
      </c>
      <c r="BK38" s="20"/>
      <c r="BL38" s="20">
        <v>9.25</v>
      </c>
      <c r="BM38" s="21">
        <v>0.25</v>
      </c>
      <c r="BN38" s="11">
        <f t="shared" si="25"/>
        <v>2.3125</v>
      </c>
      <c r="BQ38" s="19" t="s">
        <v>321</v>
      </c>
      <c r="BR38" s="20"/>
      <c r="BS38" s="20">
        <v>1.92</v>
      </c>
      <c r="BT38" s="21">
        <v>0.1</v>
      </c>
      <c r="BU38" s="11">
        <f t="shared" si="26"/>
        <v>0.192</v>
      </c>
      <c r="BW38" s="19"/>
      <c r="BX38" s="20"/>
      <c r="BY38" s="20"/>
      <c r="BZ38" s="21"/>
      <c r="CA38" s="11"/>
    </row>
    <row r="39" spans="1:79" ht="15" thickBot="1" x14ac:dyDescent="0.35">
      <c r="A39" s="19"/>
      <c r="B39" s="20"/>
      <c r="C39" s="20"/>
      <c r="D39" s="21"/>
      <c r="E39" s="11">
        <f t="shared" si="28"/>
        <v>0</v>
      </c>
      <c r="F39" s="1"/>
      <c r="G39" s="19"/>
      <c r="H39" s="20"/>
      <c r="I39" s="20"/>
      <c r="J39" s="21"/>
      <c r="K39" s="11"/>
      <c r="L39" s="1"/>
      <c r="M39" s="19"/>
      <c r="N39" s="20"/>
      <c r="O39" s="20"/>
      <c r="P39" s="21"/>
      <c r="Q39" s="11">
        <f t="shared" si="30"/>
        <v>0</v>
      </c>
      <c r="R39" s="1"/>
      <c r="S39" s="19"/>
      <c r="T39" s="20"/>
      <c r="U39" s="20"/>
      <c r="V39" s="21"/>
      <c r="W39" s="11">
        <f t="shared" si="31"/>
        <v>0</v>
      </c>
      <c r="AD39" s="19"/>
      <c r="AE39" s="20"/>
      <c r="AF39" s="20"/>
      <c r="AG39" s="21"/>
      <c r="AH39" s="11">
        <f t="shared" si="20"/>
        <v>0</v>
      </c>
      <c r="AI39" s="1"/>
      <c r="AL39" s="19" t="s">
        <v>498</v>
      </c>
      <c r="AM39" s="20"/>
      <c r="AN39" s="20"/>
      <c r="AO39" s="21"/>
      <c r="AP39" s="11">
        <f t="shared" si="21"/>
        <v>0</v>
      </c>
      <c r="AQ39" s="1">
        <v>0.3</v>
      </c>
      <c r="AX39" s="19"/>
      <c r="AY39" s="20"/>
      <c r="AZ39" s="20"/>
      <c r="BA39" s="21"/>
      <c r="BB39" s="11">
        <f t="shared" si="22"/>
        <v>0</v>
      </c>
      <c r="BD39" s="19"/>
      <c r="BE39" s="20"/>
      <c r="BF39" s="20"/>
      <c r="BG39" s="21"/>
      <c r="BH39" s="11">
        <f t="shared" si="32"/>
        <v>0</v>
      </c>
      <c r="BJ39" s="22"/>
      <c r="BK39" s="23"/>
      <c r="BL39" s="23"/>
      <c r="BM39" s="24"/>
      <c r="BN39" s="25"/>
      <c r="BQ39" s="19" t="s">
        <v>322</v>
      </c>
      <c r="BR39" s="20"/>
      <c r="BS39" s="20">
        <v>15</v>
      </c>
      <c r="BT39" s="21">
        <v>1.2999999999999999E-2</v>
      </c>
      <c r="BU39" s="11">
        <f t="shared" si="26"/>
        <v>0.19499999999999998</v>
      </c>
      <c r="BW39" s="22"/>
      <c r="BX39" s="23"/>
      <c r="BY39" s="23"/>
      <c r="BZ39" s="24"/>
      <c r="CA39" s="25"/>
    </row>
    <row r="40" spans="1:79" ht="15" thickBot="1" x14ac:dyDescent="0.35">
      <c r="A40" s="19"/>
      <c r="B40" s="20"/>
      <c r="C40" s="20"/>
      <c r="D40" s="21"/>
      <c r="E40" s="11">
        <f t="shared" si="28"/>
        <v>0</v>
      </c>
      <c r="F40" s="1"/>
      <c r="G40" s="19"/>
      <c r="H40" s="20"/>
      <c r="I40" s="20"/>
      <c r="J40" s="21"/>
      <c r="K40" s="11"/>
      <c r="L40" s="1"/>
      <c r="M40" s="19"/>
      <c r="N40" s="20"/>
      <c r="O40" s="20"/>
      <c r="P40" s="21"/>
      <c r="Q40" s="11">
        <f t="shared" si="30"/>
        <v>0</v>
      </c>
      <c r="R40" s="1"/>
      <c r="S40" s="19"/>
      <c r="T40" s="20"/>
      <c r="U40" s="20"/>
      <c r="V40" s="21"/>
      <c r="W40" s="11">
        <f t="shared" si="31"/>
        <v>0</v>
      </c>
      <c r="AD40" s="19"/>
      <c r="AE40" s="20"/>
      <c r="AF40" s="20"/>
      <c r="AG40" s="21"/>
      <c r="AH40" s="11">
        <f t="shared" si="20"/>
        <v>0</v>
      </c>
      <c r="AI40" s="1"/>
      <c r="AL40" s="19"/>
      <c r="AM40" s="20"/>
      <c r="AN40" s="20"/>
      <c r="AO40" s="21"/>
      <c r="AP40" s="11">
        <f t="shared" si="21"/>
        <v>0</v>
      </c>
      <c r="AQ40" s="1">
        <f t="shared" si="23"/>
        <v>0</v>
      </c>
      <c r="AX40" s="19"/>
      <c r="AY40" s="20"/>
      <c r="AZ40" s="20"/>
      <c r="BA40" s="21"/>
      <c r="BB40" s="11">
        <f t="shared" si="22"/>
        <v>0</v>
      </c>
      <c r="BD40" s="19"/>
      <c r="BE40" s="20"/>
      <c r="BF40" s="20"/>
      <c r="BG40" s="21"/>
      <c r="BH40" s="11">
        <f t="shared" si="32"/>
        <v>0</v>
      </c>
      <c r="BJ40" s="1"/>
      <c r="BK40" s="1"/>
      <c r="BL40" s="72" t="s">
        <v>26</v>
      </c>
      <c r="BM40" s="73"/>
      <c r="BN40" s="26">
        <f>SUM(BN29:BN39)</f>
        <v>27.294999999999995</v>
      </c>
      <c r="BQ40" s="19" t="s">
        <v>24</v>
      </c>
      <c r="BR40" s="20"/>
      <c r="BS40" s="20">
        <v>0.5</v>
      </c>
      <c r="BT40" s="21">
        <v>1.2999999999999999E-2</v>
      </c>
      <c r="BU40" s="11">
        <f t="shared" si="26"/>
        <v>6.4999999999999997E-3</v>
      </c>
      <c r="BW40" s="1"/>
      <c r="BX40" s="1"/>
      <c r="BY40" s="72" t="s">
        <v>26</v>
      </c>
      <c r="BZ40" s="73"/>
      <c r="CA40" s="26">
        <f>SUM(CA29:CA39)</f>
        <v>0.30127999999999999</v>
      </c>
    </row>
    <row r="41" spans="1:79" ht="15" thickBot="1" x14ac:dyDescent="0.35">
      <c r="A41" s="19"/>
      <c r="B41" s="20"/>
      <c r="C41" s="20"/>
      <c r="D41" s="21"/>
      <c r="E41" s="11">
        <f t="shared" si="28"/>
        <v>0</v>
      </c>
      <c r="F41" s="1"/>
      <c r="G41" s="19"/>
      <c r="H41" s="20"/>
      <c r="I41" s="20"/>
      <c r="J41" s="21"/>
      <c r="K41" s="11"/>
      <c r="L41" s="1"/>
      <c r="M41" s="19"/>
      <c r="N41" s="20"/>
      <c r="O41" s="20"/>
      <c r="P41" s="21"/>
      <c r="Q41" s="11">
        <f t="shared" si="30"/>
        <v>0</v>
      </c>
      <c r="R41" s="1"/>
      <c r="S41" s="19"/>
      <c r="T41" s="20"/>
      <c r="U41" s="20"/>
      <c r="V41" s="21"/>
      <c r="W41" s="11">
        <f t="shared" si="31"/>
        <v>0</v>
      </c>
      <c r="AD41" s="19"/>
      <c r="AE41" s="20"/>
      <c r="AF41" s="20"/>
      <c r="AG41" s="21"/>
      <c r="AH41" s="11">
        <f t="shared" si="20"/>
        <v>0</v>
      </c>
      <c r="AI41" s="1"/>
      <c r="AL41" s="19"/>
      <c r="AM41" s="20"/>
      <c r="AN41" s="20"/>
      <c r="AO41" s="21"/>
      <c r="AP41" s="11">
        <f t="shared" si="21"/>
        <v>0</v>
      </c>
      <c r="AQ41" s="1">
        <f t="shared" si="23"/>
        <v>0</v>
      </c>
      <c r="AX41" s="19"/>
      <c r="AY41" s="20"/>
      <c r="AZ41" s="20"/>
      <c r="BA41" s="21"/>
      <c r="BB41" s="11">
        <f t="shared" si="22"/>
        <v>0</v>
      </c>
      <c r="BD41" s="19"/>
      <c r="BE41" s="20"/>
      <c r="BF41" s="20"/>
      <c r="BG41" s="21"/>
      <c r="BH41" s="11">
        <f t="shared" si="32"/>
        <v>0</v>
      </c>
      <c r="BJ41" s="40" t="s">
        <v>316</v>
      </c>
      <c r="BK41" s="1"/>
      <c r="BL41" s="72" t="s">
        <v>27</v>
      </c>
      <c r="BM41" s="73"/>
      <c r="BN41" s="26">
        <f>+BN40*1.145</f>
        <v>31.252774999999993</v>
      </c>
      <c r="BQ41" s="22" t="s">
        <v>323</v>
      </c>
      <c r="BR41" s="23"/>
      <c r="BS41" s="23">
        <v>2.36</v>
      </c>
      <c r="BT41" s="24">
        <v>1.875</v>
      </c>
      <c r="BU41" s="25">
        <f t="shared" si="26"/>
        <v>4.4249999999999998</v>
      </c>
      <c r="BW41" s="40" t="s">
        <v>316</v>
      </c>
      <c r="BX41" s="1"/>
      <c r="BY41" s="72" t="s">
        <v>27</v>
      </c>
      <c r="BZ41" s="73"/>
      <c r="CA41" s="26">
        <f>+CA40*1.145</f>
        <v>0.34496559999999998</v>
      </c>
    </row>
    <row r="42" spans="1:79" ht="15" thickBot="1" x14ac:dyDescent="0.35">
      <c r="A42" s="19"/>
      <c r="B42" s="20"/>
      <c r="C42" s="20"/>
      <c r="D42" s="21"/>
      <c r="E42" s="11">
        <f t="shared" si="28"/>
        <v>0</v>
      </c>
      <c r="F42" s="1"/>
      <c r="G42" s="19"/>
      <c r="H42" s="20"/>
      <c r="I42" s="20"/>
      <c r="J42" s="21"/>
      <c r="K42" s="11"/>
      <c r="L42" s="1"/>
      <c r="M42" s="19"/>
      <c r="N42" s="20"/>
      <c r="O42" s="20"/>
      <c r="P42" s="21"/>
      <c r="Q42" s="11">
        <f t="shared" si="30"/>
        <v>0</v>
      </c>
      <c r="R42" s="1"/>
      <c r="S42" s="19"/>
      <c r="T42" s="20"/>
      <c r="U42" s="20"/>
      <c r="V42" s="21"/>
      <c r="W42" s="11">
        <f t="shared" si="31"/>
        <v>0</v>
      </c>
      <c r="AD42" s="19"/>
      <c r="AE42" s="20"/>
      <c r="AF42" s="20"/>
      <c r="AG42" s="21"/>
      <c r="AH42" s="11">
        <f t="shared" si="20"/>
        <v>0</v>
      </c>
      <c r="AI42" s="1"/>
      <c r="AL42" s="19"/>
      <c r="AM42" s="20"/>
      <c r="AN42" s="20"/>
      <c r="AO42" s="21"/>
      <c r="AP42" s="11">
        <f t="shared" si="21"/>
        <v>0</v>
      </c>
      <c r="AQ42" s="1">
        <f t="shared" si="23"/>
        <v>0</v>
      </c>
      <c r="AX42" s="19"/>
      <c r="AY42" s="20"/>
      <c r="AZ42" s="20"/>
      <c r="BA42" s="21"/>
      <c r="BB42" s="11">
        <f t="shared" si="22"/>
        <v>0</v>
      </c>
      <c r="BD42" s="19"/>
      <c r="BE42" s="20"/>
      <c r="BF42" s="20"/>
      <c r="BG42" s="21"/>
      <c r="BH42" s="11">
        <f t="shared" si="32"/>
        <v>0</v>
      </c>
      <c r="BJ42" s="1"/>
      <c r="BK42" s="1"/>
      <c r="BL42" s="72" t="s">
        <v>28</v>
      </c>
      <c r="BM42" s="73"/>
      <c r="BN42" s="26">
        <v>144</v>
      </c>
      <c r="BQ42" s="1"/>
      <c r="BR42" s="1"/>
      <c r="BS42" s="72" t="s">
        <v>26</v>
      </c>
      <c r="BT42" s="73"/>
      <c r="BU42" s="26">
        <f>SUM(BU29:BU41)</f>
        <v>29.654699999999998</v>
      </c>
      <c r="BW42" s="1"/>
      <c r="BX42" s="1"/>
      <c r="BY42" s="72" t="s">
        <v>28</v>
      </c>
      <c r="BZ42" s="73"/>
      <c r="CA42" s="26">
        <v>144</v>
      </c>
    </row>
    <row r="43" spans="1:79" ht="15" thickBot="1" x14ac:dyDescent="0.35">
      <c r="A43" s="19"/>
      <c r="B43" s="20"/>
      <c r="C43" s="20"/>
      <c r="D43" s="21"/>
      <c r="E43" s="11">
        <f t="shared" si="28"/>
        <v>0</v>
      </c>
      <c r="F43" s="1"/>
      <c r="G43" s="19"/>
      <c r="H43" s="20"/>
      <c r="I43" s="20"/>
      <c r="J43" s="21"/>
      <c r="K43" s="11"/>
      <c r="L43" s="1"/>
      <c r="M43" s="19"/>
      <c r="N43" s="20"/>
      <c r="O43" s="20"/>
      <c r="P43" s="21"/>
      <c r="Q43" s="11">
        <f t="shared" si="30"/>
        <v>0</v>
      </c>
      <c r="R43" s="1"/>
      <c r="S43" s="19"/>
      <c r="T43" s="20"/>
      <c r="U43" s="20"/>
      <c r="V43" s="21"/>
      <c r="W43" s="11">
        <f t="shared" si="31"/>
        <v>0</v>
      </c>
      <c r="AD43" s="22"/>
      <c r="AE43" s="23"/>
      <c r="AF43" s="23"/>
      <c r="AG43" s="24"/>
      <c r="AH43" s="25"/>
      <c r="AI43" s="1"/>
      <c r="AL43" s="22"/>
      <c r="AM43" s="23"/>
      <c r="AN43" s="23"/>
      <c r="AO43" s="24"/>
      <c r="AP43" s="25"/>
      <c r="AQ43" s="1">
        <f t="shared" si="23"/>
        <v>0</v>
      </c>
      <c r="AX43" s="22"/>
      <c r="AY43" s="23"/>
      <c r="AZ43" s="23"/>
      <c r="BA43" s="24"/>
      <c r="BB43" s="25"/>
      <c r="BD43" s="19"/>
      <c r="BE43" s="20"/>
      <c r="BF43" s="20"/>
      <c r="BG43" s="21"/>
      <c r="BH43" s="11">
        <f t="shared" si="32"/>
        <v>0</v>
      </c>
      <c r="BJ43" s="1"/>
      <c r="BK43" s="1"/>
      <c r="BL43" s="72" t="s">
        <v>29</v>
      </c>
      <c r="BM43" s="74"/>
      <c r="BN43" s="27">
        <f>BN41/BN42*100</f>
        <v>21.703315972222217</v>
      </c>
      <c r="BQ43" s="40" t="s">
        <v>316</v>
      </c>
      <c r="BR43" s="1"/>
      <c r="BS43" s="72" t="s">
        <v>27</v>
      </c>
      <c r="BT43" s="73"/>
      <c r="BU43" s="26">
        <f>+BU42*1.145</f>
        <v>33.954631499999998</v>
      </c>
      <c r="BW43" s="1"/>
      <c r="BX43" s="1"/>
      <c r="BY43" s="72" t="s">
        <v>29</v>
      </c>
      <c r="BZ43" s="74"/>
      <c r="CA43" s="27">
        <f>CA41/CA42*100</f>
        <v>0.23955944444444444</v>
      </c>
    </row>
    <row r="44" spans="1:79" ht="15" thickBot="1" x14ac:dyDescent="0.35">
      <c r="A44" s="19"/>
      <c r="B44" s="20"/>
      <c r="C44" s="20"/>
      <c r="D44" s="21"/>
      <c r="E44" s="11">
        <f t="shared" si="28"/>
        <v>0</v>
      </c>
      <c r="F44" s="1"/>
      <c r="G44" s="19"/>
      <c r="H44" s="20"/>
      <c r="I44" s="20"/>
      <c r="J44" s="21"/>
      <c r="K44" s="11"/>
      <c r="L44" s="1"/>
      <c r="M44" s="19"/>
      <c r="N44" s="20"/>
      <c r="O44" s="20"/>
      <c r="P44" s="21"/>
      <c r="Q44" s="11">
        <f t="shared" si="30"/>
        <v>0</v>
      </c>
      <c r="R44" s="1"/>
      <c r="S44" s="19"/>
      <c r="T44" s="20"/>
      <c r="U44" s="20"/>
      <c r="V44" s="21"/>
      <c r="W44" s="11">
        <f t="shared" si="31"/>
        <v>0</v>
      </c>
      <c r="AD44" s="1"/>
      <c r="AE44" s="1"/>
      <c r="AF44" s="72" t="s">
        <v>26</v>
      </c>
      <c r="AG44" s="73"/>
      <c r="AH44" s="26">
        <f>SUM(AH28:AH43)</f>
        <v>12.570625</v>
      </c>
      <c r="AI44" s="26">
        <f>AH44/12</f>
        <v>1.0475520833333334</v>
      </c>
      <c r="AL44" s="1"/>
      <c r="AM44" s="1"/>
      <c r="AN44" s="72" t="s">
        <v>26</v>
      </c>
      <c r="AO44" s="73"/>
      <c r="AP44" s="26">
        <f>SUM(AP28:AP43)</f>
        <v>51.998440000000002</v>
      </c>
      <c r="AQ44" s="26">
        <f>SUM(AQ28:AQ43)</f>
        <v>0.65082520833333335</v>
      </c>
      <c r="AX44" s="1"/>
      <c r="AY44" s="1"/>
      <c r="AZ44" s="72" t="s">
        <v>26</v>
      </c>
      <c r="BA44" s="73"/>
      <c r="BB44" s="26">
        <f>SUM(BB28:BB43)</f>
        <v>16.533899999999996</v>
      </c>
      <c r="BD44" s="22"/>
      <c r="BE44" s="23"/>
      <c r="BF44" s="23"/>
      <c r="BG44" s="24"/>
      <c r="BH44" s="25"/>
      <c r="BJ44" s="1"/>
      <c r="BK44" s="1"/>
      <c r="BL44" s="1"/>
      <c r="BM44" s="28" t="s">
        <v>30</v>
      </c>
      <c r="BN44" s="16">
        <f>100-BN43</f>
        <v>78.296684027777786</v>
      </c>
      <c r="BQ44" s="1"/>
      <c r="BR44" s="1"/>
      <c r="BS44" s="72" t="s">
        <v>28</v>
      </c>
      <c r="BT44" s="73"/>
      <c r="BU44" s="26">
        <v>144</v>
      </c>
      <c r="BW44" s="1"/>
      <c r="BX44" s="1"/>
      <c r="BY44" s="1"/>
      <c r="BZ44" s="28" t="s">
        <v>30</v>
      </c>
      <c r="CA44" s="16">
        <f>100-CA43</f>
        <v>99.760440555555562</v>
      </c>
    </row>
    <row r="45" spans="1:79" ht="15" thickBot="1" x14ac:dyDescent="0.35">
      <c r="A45" s="22"/>
      <c r="B45" s="23"/>
      <c r="C45" s="23"/>
      <c r="D45" s="24"/>
      <c r="E45" s="25"/>
      <c r="F45" s="1"/>
      <c r="G45" s="22"/>
      <c r="H45" s="23"/>
      <c r="I45" s="23"/>
      <c r="J45" s="24"/>
      <c r="K45" s="25"/>
      <c r="L45" s="1"/>
      <c r="M45" s="22"/>
      <c r="N45" s="23"/>
      <c r="O45" s="23"/>
      <c r="P45" s="24"/>
      <c r="Q45" s="25"/>
      <c r="R45" s="1"/>
      <c r="S45" s="22"/>
      <c r="T45" s="23"/>
      <c r="U45" s="23"/>
      <c r="V45" s="24"/>
      <c r="W45" s="25"/>
      <c r="AD45" s="1"/>
      <c r="AE45" s="1"/>
      <c r="AF45" s="72" t="s">
        <v>27</v>
      </c>
      <c r="AG45" s="73"/>
      <c r="AH45" s="26">
        <f>+AH44*1.145</f>
        <v>14.393365624999999</v>
      </c>
      <c r="AI45" s="26">
        <f>+AI44*1.145</f>
        <v>1.1994471354166667</v>
      </c>
      <c r="AL45" s="1"/>
      <c r="AM45" s="1"/>
      <c r="AN45" s="72" t="s">
        <v>27</v>
      </c>
      <c r="AO45" s="73"/>
      <c r="AP45" s="26">
        <f>+AP44*1.145</f>
        <v>59.538213800000001</v>
      </c>
      <c r="AQ45" s="26">
        <f>+AQ44*1.145</f>
        <v>0.74519486354166664</v>
      </c>
      <c r="AX45" s="40" t="s">
        <v>316</v>
      </c>
      <c r="AY45" s="1"/>
      <c r="AZ45" s="72" t="s">
        <v>27</v>
      </c>
      <c r="BA45" s="73"/>
      <c r="BB45" s="26">
        <f>+BB44*1.145</f>
        <v>18.931315499999997</v>
      </c>
      <c r="BD45" s="1"/>
      <c r="BE45" s="1"/>
      <c r="BF45" s="72" t="s">
        <v>26</v>
      </c>
      <c r="BG45" s="73"/>
      <c r="BH45" s="26">
        <f>SUM(BH29:BH44)</f>
        <v>2.2437999999999998</v>
      </c>
      <c r="BQ45" s="1"/>
      <c r="BR45" s="1"/>
      <c r="BS45" s="72" t="s">
        <v>29</v>
      </c>
      <c r="BT45" s="74"/>
      <c r="BU45" s="27">
        <f>BU43/BU44*100</f>
        <v>23.579605208333334</v>
      </c>
    </row>
    <row r="46" spans="1:79" ht="15" thickBot="1" x14ac:dyDescent="0.35">
      <c r="A46" s="1"/>
      <c r="B46" s="1"/>
      <c r="C46" s="72" t="s">
        <v>26</v>
      </c>
      <c r="D46" s="73"/>
      <c r="E46" s="26">
        <f>SUM(E30:E45)</f>
        <v>2.3440000000000003</v>
      </c>
      <c r="F46" s="1"/>
      <c r="G46" s="1"/>
      <c r="H46" s="1"/>
      <c r="I46" s="72" t="s">
        <v>26</v>
      </c>
      <c r="J46" s="73"/>
      <c r="K46" s="26">
        <f>SUM(K30:K45)</f>
        <v>6.5423200000000001</v>
      </c>
      <c r="L46" s="1"/>
      <c r="M46" s="1"/>
      <c r="N46" s="1"/>
      <c r="O46" s="72" t="s">
        <v>26</v>
      </c>
      <c r="P46" s="73"/>
      <c r="Q46" s="26">
        <f>SUM(Q30:Q45)</f>
        <v>1.9470399999999999</v>
      </c>
      <c r="R46" s="1"/>
      <c r="S46" s="1"/>
      <c r="T46" s="1"/>
      <c r="U46" s="72" t="s">
        <v>26</v>
      </c>
      <c r="V46" s="73"/>
      <c r="W46" s="26">
        <f>SUM(W30:W45)</f>
        <v>3.1370000000000005</v>
      </c>
      <c r="AD46" s="1"/>
      <c r="AE46" s="1"/>
      <c r="AF46" s="72" t="s">
        <v>28</v>
      </c>
      <c r="AG46" s="73"/>
      <c r="AH46" s="26">
        <v>60</v>
      </c>
      <c r="AI46" s="26">
        <v>4</v>
      </c>
      <c r="AL46" s="1"/>
      <c r="AM46" s="1"/>
      <c r="AN46" s="72" t="s">
        <v>28</v>
      </c>
      <c r="AO46" s="73"/>
      <c r="AP46" s="26">
        <v>394</v>
      </c>
      <c r="AQ46" s="26">
        <v>3</v>
      </c>
      <c r="AX46" s="1"/>
      <c r="AY46" s="1"/>
      <c r="AZ46" s="72" t="s">
        <v>28</v>
      </c>
      <c r="BA46" s="73"/>
      <c r="BB46" s="26">
        <v>90</v>
      </c>
      <c r="BD46" s="1"/>
      <c r="BE46" s="1"/>
      <c r="BF46" s="72" t="s">
        <v>27</v>
      </c>
      <c r="BG46" s="73"/>
      <c r="BH46" s="26">
        <f>+BH45*1.145</f>
        <v>2.5691509999999997</v>
      </c>
      <c r="BQ46" s="1"/>
      <c r="BR46" s="1"/>
      <c r="BS46" s="1"/>
      <c r="BT46" s="28" t="s">
        <v>30</v>
      </c>
      <c r="BU46" s="16">
        <f>100-BU45</f>
        <v>76.420394791666666</v>
      </c>
    </row>
    <row r="47" spans="1:79" ht="15" thickBot="1" x14ac:dyDescent="0.35">
      <c r="A47" s="1"/>
      <c r="B47" s="1"/>
      <c r="C47" s="72" t="s">
        <v>27</v>
      </c>
      <c r="D47" s="73"/>
      <c r="E47" s="26">
        <f>+E46*1.145</f>
        <v>2.6838800000000003</v>
      </c>
      <c r="F47" s="1"/>
      <c r="G47" s="1"/>
      <c r="H47" s="1"/>
      <c r="I47" s="72" t="s">
        <v>27</v>
      </c>
      <c r="J47" s="73"/>
      <c r="K47" s="26">
        <f>+K46*1.145</f>
        <v>7.4909564</v>
      </c>
      <c r="L47" s="1">
        <f>K47/23</f>
        <v>0.32569375652173915</v>
      </c>
      <c r="M47" s="1"/>
      <c r="N47" s="1"/>
      <c r="O47" s="72" t="s">
        <v>27</v>
      </c>
      <c r="P47" s="73"/>
      <c r="Q47" s="26">
        <f>+Q46*1.145</f>
        <v>2.2293607999999998</v>
      </c>
      <c r="R47" s="1"/>
      <c r="S47" s="1"/>
      <c r="T47" s="1"/>
      <c r="U47" s="72" t="s">
        <v>27</v>
      </c>
      <c r="V47" s="73"/>
      <c r="W47" s="26">
        <f>+W46*1.145</f>
        <v>3.5918650000000008</v>
      </c>
      <c r="AD47" s="1"/>
      <c r="AE47" s="1"/>
      <c r="AF47" s="72" t="s">
        <v>29</v>
      </c>
      <c r="AG47" s="74"/>
      <c r="AH47" s="27">
        <f>AH45/AH46*100</f>
        <v>23.988942708333333</v>
      </c>
      <c r="AI47" s="27">
        <f>AI45/AI46*100</f>
        <v>29.986178385416668</v>
      </c>
      <c r="AL47" s="1"/>
      <c r="AM47" s="1"/>
      <c r="AN47" s="72" t="s">
        <v>29</v>
      </c>
      <c r="AO47" s="74"/>
      <c r="AP47" s="27">
        <f>AP45/AP46*100</f>
        <v>15.111221776649748</v>
      </c>
      <c r="AQ47" s="27">
        <f>AQ45/AQ46*100</f>
        <v>24.839828784722222</v>
      </c>
      <c r="AX47" s="1"/>
      <c r="AY47" s="1"/>
      <c r="AZ47" s="72" t="s">
        <v>29</v>
      </c>
      <c r="BA47" s="74"/>
      <c r="BB47" s="27">
        <f>BB45/BB46*100</f>
        <v>21.034794999999995</v>
      </c>
      <c r="BD47" s="1"/>
      <c r="BE47" s="1"/>
      <c r="BF47" s="72" t="s">
        <v>28</v>
      </c>
      <c r="BG47" s="73"/>
      <c r="BH47" s="26">
        <v>12</v>
      </c>
      <c r="BJ47" s="69" t="s">
        <v>491</v>
      </c>
      <c r="BK47" s="70"/>
      <c r="BL47" s="70"/>
      <c r="BM47" s="70"/>
      <c r="BN47" s="71"/>
    </row>
    <row r="48" spans="1:79" ht="15" thickBot="1" x14ac:dyDescent="0.35">
      <c r="A48" s="1"/>
      <c r="B48" s="1"/>
      <c r="C48" s="72" t="s">
        <v>28</v>
      </c>
      <c r="D48" s="73"/>
      <c r="E48" s="26">
        <v>10</v>
      </c>
      <c r="F48" s="1"/>
      <c r="G48" s="1"/>
      <c r="H48" s="1"/>
      <c r="I48" s="72" t="s">
        <v>28</v>
      </c>
      <c r="J48" s="73"/>
      <c r="K48" s="26">
        <v>29.9</v>
      </c>
      <c r="L48" s="1">
        <v>0.9</v>
      </c>
      <c r="M48" s="1"/>
      <c r="N48" s="1"/>
      <c r="O48" s="72" t="s">
        <v>28</v>
      </c>
      <c r="P48" s="73"/>
      <c r="Q48" s="26">
        <v>13</v>
      </c>
      <c r="R48" s="1">
        <v>1</v>
      </c>
      <c r="S48" s="1"/>
      <c r="T48" s="1"/>
      <c r="U48" s="72" t="s">
        <v>28</v>
      </c>
      <c r="V48" s="73"/>
      <c r="W48" s="26">
        <v>17</v>
      </c>
      <c r="AD48" s="1"/>
      <c r="AE48" s="1"/>
      <c r="AF48" s="1"/>
      <c r="AG48" s="28" t="s">
        <v>30</v>
      </c>
      <c r="AH48" s="16">
        <f>100-AH47</f>
        <v>76.011057291666674</v>
      </c>
      <c r="AI48" s="16">
        <f>100-AI47</f>
        <v>70.013821614583335</v>
      </c>
      <c r="AL48" s="1"/>
      <c r="AM48" s="1"/>
      <c r="AN48" s="1"/>
      <c r="AO48" s="28" t="s">
        <v>30</v>
      </c>
      <c r="AP48" s="16">
        <f>100-AP47</f>
        <v>84.888778223350258</v>
      </c>
      <c r="AQ48" s="16">
        <f>100-AQ47</f>
        <v>75.160171215277785</v>
      </c>
      <c r="AX48" s="1"/>
      <c r="AY48" s="1"/>
      <c r="AZ48" s="1"/>
      <c r="BA48" s="28" t="s">
        <v>30</v>
      </c>
      <c r="BB48" s="16">
        <f>100-BB47</f>
        <v>78.965204999999997</v>
      </c>
      <c r="BD48" s="1"/>
      <c r="BE48" s="1"/>
      <c r="BF48" s="72" t="s">
        <v>29</v>
      </c>
      <c r="BG48" s="74"/>
      <c r="BH48" s="27">
        <f>BH46/BH47*100</f>
        <v>21.409591666666664</v>
      </c>
      <c r="BJ48" s="2" t="s">
        <v>3</v>
      </c>
      <c r="BK48" s="3" t="s">
        <v>4</v>
      </c>
      <c r="BL48" s="3" t="s">
        <v>5</v>
      </c>
      <c r="BM48" s="4" t="s">
        <v>6</v>
      </c>
      <c r="BN48" s="5" t="s">
        <v>7</v>
      </c>
    </row>
    <row r="49" spans="1:66" ht="15" thickBot="1" x14ac:dyDescent="0.35">
      <c r="A49" s="1"/>
      <c r="B49" s="1"/>
      <c r="C49" s="72" t="s">
        <v>29</v>
      </c>
      <c r="D49" s="74"/>
      <c r="E49" s="27">
        <f>E47/E48*100</f>
        <v>26.838800000000003</v>
      </c>
      <c r="F49" s="1"/>
      <c r="G49" s="1"/>
      <c r="H49" s="1"/>
      <c r="I49" s="72" t="s">
        <v>29</v>
      </c>
      <c r="J49" s="74"/>
      <c r="K49" s="27">
        <f>K47/K48*100</f>
        <v>25.053365886287626</v>
      </c>
      <c r="L49" s="1"/>
      <c r="M49" s="1"/>
      <c r="N49" s="1"/>
      <c r="O49" s="72" t="s">
        <v>29</v>
      </c>
      <c r="P49" s="74"/>
      <c r="Q49" s="27">
        <f>Q47/Q48*100</f>
        <v>17.14892923076923</v>
      </c>
      <c r="R49" s="1"/>
      <c r="S49" s="1"/>
      <c r="T49" s="1"/>
      <c r="U49" s="72" t="s">
        <v>29</v>
      </c>
      <c r="V49" s="74"/>
      <c r="W49" s="27">
        <f>W47/W48*100</f>
        <v>21.128617647058828</v>
      </c>
      <c r="BD49" s="1"/>
      <c r="BE49" s="1"/>
      <c r="BF49" s="1"/>
      <c r="BG49" s="28" t="s">
        <v>30</v>
      </c>
      <c r="BH49" s="16">
        <f>100-BH48</f>
        <v>78.590408333333329</v>
      </c>
      <c r="BJ49" s="15" t="s">
        <v>327</v>
      </c>
      <c r="BK49" s="16"/>
      <c r="BL49" s="17">
        <v>23.68</v>
      </c>
      <c r="BM49" s="18">
        <v>0.24</v>
      </c>
      <c r="BN49" s="11">
        <f t="shared" ref="BN49:BN53" si="33">+BM49*BL49</f>
        <v>5.6831999999999994</v>
      </c>
    </row>
    <row r="50" spans="1:66" ht="15" thickBot="1" x14ac:dyDescent="0.35">
      <c r="A50" s="1"/>
      <c r="B50" s="1"/>
      <c r="C50" s="1"/>
      <c r="D50" s="28" t="s">
        <v>30</v>
      </c>
      <c r="E50" s="16">
        <f>100-E49</f>
        <v>73.161199999999994</v>
      </c>
      <c r="F50" s="1"/>
      <c r="G50" s="1"/>
      <c r="H50" s="1"/>
      <c r="I50" s="1"/>
      <c r="J50" s="28" t="s">
        <v>30</v>
      </c>
      <c r="K50" s="16">
        <f>100-K49</f>
        <v>74.946634113712378</v>
      </c>
      <c r="L50" s="1"/>
      <c r="M50" s="1"/>
      <c r="N50" s="1"/>
      <c r="O50" s="1"/>
      <c r="P50" s="28" t="s">
        <v>30</v>
      </c>
      <c r="Q50" s="16">
        <f>100-Q49</f>
        <v>82.851070769230773</v>
      </c>
      <c r="R50" s="1"/>
      <c r="S50" s="1"/>
      <c r="T50" s="1"/>
      <c r="U50" s="1"/>
      <c r="V50" s="28" t="s">
        <v>30</v>
      </c>
      <c r="W50" s="16">
        <f>100-W49</f>
        <v>78.871382352941168</v>
      </c>
      <c r="BJ50" s="19" t="s">
        <v>181</v>
      </c>
      <c r="BK50" s="20"/>
      <c r="BL50" s="20">
        <v>9.25</v>
      </c>
      <c r="BM50" s="21">
        <v>0.2</v>
      </c>
      <c r="BN50" s="11">
        <f t="shared" si="33"/>
        <v>1.85</v>
      </c>
    </row>
    <row r="51" spans="1:66" ht="15" thickBot="1" x14ac:dyDescent="0.35">
      <c r="AD51" s="75" t="s">
        <v>288</v>
      </c>
      <c r="AE51" s="75"/>
      <c r="AF51" s="75"/>
      <c r="AG51" s="75"/>
      <c r="AH51" s="76"/>
      <c r="AI51" s="1"/>
      <c r="AL51" s="69" t="s">
        <v>409</v>
      </c>
      <c r="AM51" s="70"/>
      <c r="AN51" s="70"/>
      <c r="AO51" s="70"/>
      <c r="AP51" s="71"/>
      <c r="AR51" s="69" t="s">
        <v>514</v>
      </c>
      <c r="AS51" s="70"/>
      <c r="AT51" s="70"/>
      <c r="AU51" s="70"/>
      <c r="AV51" s="71"/>
      <c r="AW51" s="1"/>
      <c r="AX51" s="69" t="s">
        <v>487</v>
      </c>
      <c r="AY51" s="70"/>
      <c r="AZ51" s="70"/>
      <c r="BA51" s="70"/>
      <c r="BB51" s="71"/>
      <c r="BJ51" s="15" t="s">
        <v>444</v>
      </c>
      <c r="BK51" s="16"/>
      <c r="BL51" s="17">
        <v>10</v>
      </c>
      <c r="BM51" s="18">
        <v>0.02</v>
      </c>
      <c r="BN51" s="11">
        <f t="shared" si="33"/>
        <v>0.2</v>
      </c>
    </row>
    <row r="52" spans="1:66" ht="15" thickBot="1" x14ac:dyDescent="0.35">
      <c r="A52" s="69" t="s">
        <v>0</v>
      </c>
      <c r="B52" s="70"/>
      <c r="C52" s="70"/>
      <c r="D52" s="70"/>
      <c r="E52" s="71"/>
      <c r="F52" s="1"/>
      <c r="G52" s="69" t="s">
        <v>1</v>
      </c>
      <c r="H52" s="70"/>
      <c r="I52" s="70"/>
      <c r="J52" s="70"/>
      <c r="K52" s="71"/>
      <c r="L52" s="1"/>
      <c r="M52" s="69" t="s">
        <v>2</v>
      </c>
      <c r="N52" s="70"/>
      <c r="O52" s="70"/>
      <c r="P52" s="70"/>
      <c r="Q52" s="71"/>
      <c r="T52" s="69" t="s">
        <v>294</v>
      </c>
      <c r="U52" s="70"/>
      <c r="V52" s="70"/>
      <c r="W52" s="70"/>
      <c r="X52" s="71"/>
      <c r="AD52" s="2" t="s">
        <v>3</v>
      </c>
      <c r="AE52" s="3" t="s">
        <v>4</v>
      </c>
      <c r="AF52" s="3" t="s">
        <v>5</v>
      </c>
      <c r="AG52" s="4" t="s">
        <v>6</v>
      </c>
      <c r="AH52" s="5" t="s">
        <v>7</v>
      </c>
      <c r="AI52" s="1"/>
      <c r="AL52" s="2" t="s">
        <v>3</v>
      </c>
      <c r="AM52" s="3" t="s">
        <v>4</v>
      </c>
      <c r="AN52" s="3" t="s">
        <v>5</v>
      </c>
      <c r="AO52" s="4" t="s">
        <v>6</v>
      </c>
      <c r="AP52" s="5" t="s">
        <v>7</v>
      </c>
      <c r="AR52" s="2" t="s">
        <v>3</v>
      </c>
      <c r="AS52" s="3" t="s">
        <v>4</v>
      </c>
      <c r="AT52" s="3" t="s">
        <v>5</v>
      </c>
      <c r="AU52" s="4" t="s">
        <v>6</v>
      </c>
      <c r="AV52" s="5" t="s">
        <v>7</v>
      </c>
      <c r="AW52" s="1"/>
      <c r="AX52" s="2" t="s">
        <v>317</v>
      </c>
      <c r="AY52" s="3" t="s">
        <v>4</v>
      </c>
      <c r="AZ52" s="3" t="s">
        <v>5</v>
      </c>
      <c r="BA52" s="4" t="s">
        <v>6</v>
      </c>
      <c r="BB52" s="5" t="s">
        <v>7</v>
      </c>
      <c r="BJ52" s="15" t="s">
        <v>8</v>
      </c>
      <c r="BK52" s="16"/>
      <c r="BL52" s="17">
        <v>5.16</v>
      </c>
      <c r="BM52" s="18">
        <v>0.04</v>
      </c>
      <c r="BN52" s="11">
        <f t="shared" si="33"/>
        <v>0.2064</v>
      </c>
    </row>
    <row r="53" spans="1:66" ht="15" thickBot="1" x14ac:dyDescent="0.35">
      <c r="A53" s="2" t="s">
        <v>3</v>
      </c>
      <c r="B53" s="3" t="s">
        <v>4</v>
      </c>
      <c r="C53" s="3" t="s">
        <v>5</v>
      </c>
      <c r="D53" s="4" t="s">
        <v>6</v>
      </c>
      <c r="E53" s="5" t="s">
        <v>7</v>
      </c>
      <c r="F53" s="1"/>
      <c r="G53" s="2" t="s">
        <v>3</v>
      </c>
      <c r="H53" s="3" t="s">
        <v>4</v>
      </c>
      <c r="I53" s="3" t="s">
        <v>5</v>
      </c>
      <c r="J53" s="4" t="s">
        <v>6</v>
      </c>
      <c r="K53" s="5" t="s">
        <v>7</v>
      </c>
      <c r="L53" s="1"/>
      <c r="M53" s="2" t="s">
        <v>3</v>
      </c>
      <c r="N53" s="6" t="s">
        <v>4</v>
      </c>
      <c r="O53" s="6" t="s">
        <v>5</v>
      </c>
      <c r="P53" s="4" t="s">
        <v>6</v>
      </c>
      <c r="Q53" s="5" t="s">
        <v>7</v>
      </c>
      <c r="T53" s="2" t="s">
        <v>3</v>
      </c>
      <c r="U53" s="3" t="s">
        <v>4</v>
      </c>
      <c r="V53" s="3" t="s">
        <v>5</v>
      </c>
      <c r="W53" s="4" t="s">
        <v>6</v>
      </c>
      <c r="X53" s="5" t="s">
        <v>7</v>
      </c>
      <c r="AD53" s="7" t="s">
        <v>22</v>
      </c>
      <c r="AE53" s="8" t="s">
        <v>34</v>
      </c>
      <c r="AF53" s="9">
        <v>1</v>
      </c>
      <c r="AG53" s="10">
        <v>0.06</v>
      </c>
      <c r="AH53" s="11">
        <f t="shared" ref="AH53:AH62" si="34">+AG53*AF53</f>
        <v>0.06</v>
      </c>
      <c r="AI53" s="1"/>
      <c r="AL53" s="7" t="s">
        <v>296</v>
      </c>
      <c r="AM53" s="8" t="s">
        <v>11</v>
      </c>
      <c r="AN53" s="9">
        <v>1.8</v>
      </c>
      <c r="AO53" s="10">
        <v>0.06</v>
      </c>
      <c r="AP53" s="11">
        <f t="shared" ref="AP53:AP62" si="35">+AO53*AN53</f>
        <v>0.108</v>
      </c>
      <c r="AR53" s="7" t="s">
        <v>286</v>
      </c>
      <c r="AS53" s="8" t="s">
        <v>34</v>
      </c>
      <c r="AT53" s="9">
        <v>12</v>
      </c>
      <c r="AU53" s="10">
        <v>1</v>
      </c>
      <c r="AV53" s="11">
        <f t="shared" ref="AV53:AV67" si="36">+AU53*AT53</f>
        <v>12</v>
      </c>
      <c r="AW53" s="1"/>
      <c r="AX53" s="7" t="s">
        <v>10</v>
      </c>
      <c r="AY53" s="8" t="s">
        <v>11</v>
      </c>
      <c r="AZ53" s="9">
        <v>8.4700000000000006</v>
      </c>
      <c r="BA53" s="10">
        <v>0.25</v>
      </c>
      <c r="BB53" s="11">
        <f t="shared" ref="BB53:BB67" si="37">+BA53*AZ53</f>
        <v>2.1175000000000002</v>
      </c>
      <c r="BJ53" s="19" t="s">
        <v>12</v>
      </c>
      <c r="BK53" s="20"/>
      <c r="BL53" s="20">
        <v>1.35</v>
      </c>
      <c r="BM53" s="21">
        <v>0.04</v>
      </c>
      <c r="BN53" s="11">
        <f t="shared" si="33"/>
        <v>5.4000000000000006E-2</v>
      </c>
    </row>
    <row r="54" spans="1:66" ht="15" thickBot="1" x14ac:dyDescent="0.35">
      <c r="A54" s="7" t="s">
        <v>8</v>
      </c>
      <c r="B54" s="8" t="s">
        <v>9</v>
      </c>
      <c r="C54" s="9">
        <v>14</v>
      </c>
      <c r="D54" s="10">
        <v>0.5</v>
      </c>
      <c r="E54" s="11">
        <f t="shared" ref="E54:E68" si="38">+D54*C54</f>
        <v>7</v>
      </c>
      <c r="F54" s="1"/>
      <c r="G54" s="7" t="s">
        <v>10</v>
      </c>
      <c r="H54" s="8" t="s">
        <v>11</v>
      </c>
      <c r="I54" s="9">
        <v>8.6999999999999993</v>
      </c>
      <c r="J54" s="10">
        <v>0.15</v>
      </c>
      <c r="K54" s="11">
        <f t="shared" ref="K54:K68" si="39">+J54*I54</f>
        <v>1.3049999999999999</v>
      </c>
      <c r="L54" s="1"/>
      <c r="M54" s="12" t="s">
        <v>12</v>
      </c>
      <c r="N54" s="13"/>
      <c r="O54" s="14">
        <v>1.25</v>
      </c>
      <c r="P54" s="10">
        <v>2</v>
      </c>
      <c r="Q54" s="11">
        <f t="shared" ref="Q54:Q68" si="40">+P54*O54</f>
        <v>2.5</v>
      </c>
      <c r="T54" s="7" t="s">
        <v>296</v>
      </c>
      <c r="U54" s="8" t="s">
        <v>11</v>
      </c>
      <c r="V54" s="9">
        <v>1.8</v>
      </c>
      <c r="W54" s="10">
        <v>0.12</v>
      </c>
      <c r="X54" s="11">
        <f t="shared" ref="X54:X68" si="41">+W54*V54</f>
        <v>0.216</v>
      </c>
      <c r="AD54" s="15" t="s">
        <v>23</v>
      </c>
      <c r="AE54" s="16"/>
      <c r="AF54" s="17">
        <v>1.7</v>
      </c>
      <c r="AG54" s="18">
        <v>0.06</v>
      </c>
      <c r="AH54" s="11">
        <f t="shared" si="34"/>
        <v>0.10199999999999999</v>
      </c>
      <c r="AI54" s="1"/>
      <c r="AL54" s="15" t="s">
        <v>19</v>
      </c>
      <c r="AM54" s="16" t="s">
        <v>34</v>
      </c>
      <c r="AN54" s="17">
        <v>0.15</v>
      </c>
      <c r="AO54" s="18">
        <v>4</v>
      </c>
      <c r="AP54" s="11">
        <f t="shared" si="35"/>
        <v>0.6</v>
      </c>
      <c r="AR54" s="15" t="s">
        <v>287</v>
      </c>
      <c r="AS54" s="16"/>
      <c r="AT54" s="17">
        <v>9.25</v>
      </c>
      <c r="AU54" s="18">
        <v>0.71</v>
      </c>
      <c r="AV54" s="11">
        <f t="shared" si="36"/>
        <v>6.5674999999999999</v>
      </c>
      <c r="AW54" s="1"/>
      <c r="AX54" s="15"/>
      <c r="AY54" s="16"/>
      <c r="AZ54" s="17"/>
      <c r="BA54" s="18"/>
      <c r="BB54" s="11"/>
      <c r="BJ54" s="19"/>
      <c r="BK54" s="20"/>
      <c r="BL54" s="20"/>
      <c r="BM54" s="21"/>
      <c r="BN54" s="11"/>
    </row>
    <row r="55" spans="1:66" x14ac:dyDescent="0.3">
      <c r="A55" s="15" t="s">
        <v>13</v>
      </c>
      <c r="B55" s="16" t="s">
        <v>9</v>
      </c>
      <c r="C55" s="17">
        <v>5</v>
      </c>
      <c r="D55" s="18">
        <v>0.6</v>
      </c>
      <c r="E55" s="11">
        <f t="shared" si="38"/>
        <v>3</v>
      </c>
      <c r="F55" s="1"/>
      <c r="G55" s="15" t="s">
        <v>14</v>
      </c>
      <c r="H55" s="16"/>
      <c r="I55" s="17">
        <v>1.5</v>
      </c>
      <c r="J55" s="18">
        <v>0.08</v>
      </c>
      <c r="K55" s="11">
        <f t="shared" si="39"/>
        <v>0.12</v>
      </c>
      <c r="L55" s="1"/>
      <c r="M55" s="7" t="s">
        <v>15</v>
      </c>
      <c r="N55" s="16"/>
      <c r="O55" s="17">
        <v>14</v>
      </c>
      <c r="P55" s="18">
        <v>5.0000000000000001E-3</v>
      </c>
      <c r="Q55" s="11">
        <f t="shared" si="40"/>
        <v>7.0000000000000007E-2</v>
      </c>
      <c r="T55" s="15" t="s">
        <v>19</v>
      </c>
      <c r="U55" s="16" t="s">
        <v>34</v>
      </c>
      <c r="V55" s="17">
        <v>0.15</v>
      </c>
      <c r="W55" s="18">
        <v>2</v>
      </c>
      <c r="X55" s="11">
        <f t="shared" si="41"/>
        <v>0.3</v>
      </c>
      <c r="AD55" s="15" t="s">
        <v>289</v>
      </c>
      <c r="AE55" s="16"/>
      <c r="AF55" s="17">
        <v>1</v>
      </c>
      <c r="AG55" s="18">
        <v>0.125</v>
      </c>
      <c r="AH55" s="11">
        <f t="shared" si="34"/>
        <v>0.125</v>
      </c>
      <c r="AI55" s="1"/>
      <c r="AL55" s="15" t="s">
        <v>35</v>
      </c>
      <c r="AM55" s="16" t="s">
        <v>11</v>
      </c>
      <c r="AN55" s="17">
        <v>1</v>
      </c>
      <c r="AO55" s="18">
        <v>0.6</v>
      </c>
      <c r="AP55" s="11">
        <f t="shared" si="35"/>
        <v>0.6</v>
      </c>
      <c r="AR55" s="15" t="s">
        <v>129</v>
      </c>
      <c r="AS55" s="16"/>
      <c r="AT55" s="17">
        <v>4</v>
      </c>
      <c r="AU55" s="18">
        <v>1</v>
      </c>
      <c r="AV55" s="11">
        <f t="shared" si="36"/>
        <v>4</v>
      </c>
      <c r="AW55" s="1"/>
      <c r="AX55" s="15" t="s">
        <v>45</v>
      </c>
      <c r="AY55" s="16"/>
      <c r="AZ55" s="17">
        <v>1.08</v>
      </c>
      <c r="BA55" s="18">
        <v>0.25</v>
      </c>
      <c r="BB55" s="11">
        <f t="shared" si="37"/>
        <v>0.27</v>
      </c>
      <c r="BJ55" s="19"/>
      <c r="BK55" s="20"/>
      <c r="BL55" s="20"/>
      <c r="BM55" s="21"/>
      <c r="BN55" s="11"/>
    </row>
    <row r="56" spans="1:66" x14ac:dyDescent="0.3">
      <c r="A56" s="15" t="s">
        <v>16</v>
      </c>
      <c r="B56" s="16" t="s">
        <v>11</v>
      </c>
      <c r="C56" s="17">
        <v>1</v>
      </c>
      <c r="D56" s="18">
        <v>0.6</v>
      </c>
      <c r="E56" s="11">
        <f t="shared" si="38"/>
        <v>0.6</v>
      </c>
      <c r="F56" s="1"/>
      <c r="G56" s="15" t="s">
        <v>17</v>
      </c>
      <c r="H56" s="16"/>
      <c r="I56" s="17">
        <v>1.5</v>
      </c>
      <c r="J56" s="18">
        <v>0.05</v>
      </c>
      <c r="K56" s="11">
        <f t="shared" si="39"/>
        <v>7.5000000000000011E-2</v>
      </c>
      <c r="L56" s="1"/>
      <c r="M56" s="15" t="s">
        <v>18</v>
      </c>
      <c r="N56" s="16"/>
      <c r="O56" s="17">
        <v>1.5</v>
      </c>
      <c r="P56" s="18">
        <v>0.02</v>
      </c>
      <c r="Q56" s="11">
        <f t="shared" si="40"/>
        <v>0.03</v>
      </c>
      <c r="T56" s="15" t="s">
        <v>35</v>
      </c>
      <c r="U56" s="16" t="s">
        <v>11</v>
      </c>
      <c r="V56" s="17">
        <v>1</v>
      </c>
      <c r="W56" s="18">
        <v>0.35</v>
      </c>
      <c r="X56" s="11">
        <f t="shared" si="41"/>
        <v>0.35</v>
      </c>
      <c r="AD56" s="15" t="s">
        <v>91</v>
      </c>
      <c r="AE56" s="16"/>
      <c r="AF56" s="17">
        <v>0.15</v>
      </c>
      <c r="AG56" s="18">
        <v>6</v>
      </c>
      <c r="AH56" s="11">
        <f t="shared" si="34"/>
        <v>0.89999999999999991</v>
      </c>
      <c r="AI56" s="1"/>
      <c r="AL56" s="15" t="s">
        <v>12</v>
      </c>
      <c r="AM56" s="16" t="s">
        <v>11</v>
      </c>
      <c r="AN56" s="17">
        <v>1.25</v>
      </c>
      <c r="AO56" s="18">
        <v>0.09</v>
      </c>
      <c r="AP56" s="11">
        <f t="shared" si="35"/>
        <v>0.11249999999999999</v>
      </c>
      <c r="AR56" s="15" t="s">
        <v>515</v>
      </c>
      <c r="AS56" s="16"/>
      <c r="AT56" s="17">
        <v>6</v>
      </c>
      <c r="AU56" s="18">
        <v>1</v>
      </c>
      <c r="AV56" s="11">
        <f t="shared" si="36"/>
        <v>6</v>
      </c>
      <c r="AW56" s="1"/>
      <c r="AX56" s="15" t="s">
        <v>46</v>
      </c>
      <c r="AY56" s="16"/>
      <c r="AZ56" s="17">
        <v>4</v>
      </c>
      <c r="BA56" s="18">
        <v>1.7999999999999999E-2</v>
      </c>
      <c r="BB56" s="11">
        <f t="shared" si="37"/>
        <v>7.1999999999999995E-2</v>
      </c>
      <c r="BJ56" s="19"/>
      <c r="BK56" s="20"/>
      <c r="BL56" s="20"/>
      <c r="BM56" s="21"/>
      <c r="BN56" s="11"/>
    </row>
    <row r="57" spans="1:66" x14ac:dyDescent="0.3">
      <c r="A57" s="15"/>
      <c r="B57" s="16"/>
      <c r="C57" s="17"/>
      <c r="D57" s="18"/>
      <c r="E57" s="11">
        <f t="shared" si="38"/>
        <v>0</v>
      </c>
      <c r="F57" s="1"/>
      <c r="G57" s="15" t="s">
        <v>15</v>
      </c>
      <c r="H57" s="16"/>
      <c r="I57" s="17">
        <v>1.5</v>
      </c>
      <c r="J57" s="18">
        <v>0.01</v>
      </c>
      <c r="K57" s="11">
        <f t="shared" si="39"/>
        <v>1.4999999999999999E-2</v>
      </c>
      <c r="L57" s="1"/>
      <c r="M57" s="15" t="s">
        <v>19</v>
      </c>
      <c r="N57" s="16"/>
      <c r="O57" s="17">
        <v>0.15</v>
      </c>
      <c r="P57" s="18">
        <v>4</v>
      </c>
      <c r="Q57" s="11">
        <f t="shared" si="40"/>
        <v>0.6</v>
      </c>
      <c r="T57" s="15" t="s">
        <v>12</v>
      </c>
      <c r="U57" s="16" t="s">
        <v>11</v>
      </c>
      <c r="V57" s="17">
        <v>1.25</v>
      </c>
      <c r="W57" s="18">
        <v>0.24</v>
      </c>
      <c r="X57" s="11">
        <f t="shared" si="41"/>
        <v>0.3</v>
      </c>
      <c r="AD57" s="15" t="s">
        <v>289</v>
      </c>
      <c r="AE57" s="16"/>
      <c r="AF57" s="17">
        <v>1</v>
      </c>
      <c r="AG57" s="18">
        <v>0.18</v>
      </c>
      <c r="AH57" s="11">
        <f t="shared" si="34"/>
        <v>0.18</v>
      </c>
      <c r="AI57" s="1"/>
      <c r="AL57" s="15" t="s">
        <v>43</v>
      </c>
      <c r="AM57" s="16" t="s">
        <v>44</v>
      </c>
      <c r="AN57" s="17">
        <v>14</v>
      </c>
      <c r="AO57" s="18">
        <v>5.0000000000000001E-3</v>
      </c>
      <c r="AP57" s="11">
        <f t="shared" si="35"/>
        <v>7.0000000000000007E-2</v>
      </c>
      <c r="AR57" s="15" t="s">
        <v>213</v>
      </c>
      <c r="AS57" s="16"/>
      <c r="AT57" s="17">
        <v>1</v>
      </c>
      <c r="AU57" s="18">
        <v>0.7</v>
      </c>
      <c r="AV57" s="11">
        <f t="shared" si="36"/>
        <v>0.7</v>
      </c>
      <c r="AW57" s="1"/>
      <c r="AX57" s="15" t="s">
        <v>19</v>
      </c>
      <c r="AY57" s="16"/>
      <c r="AZ57" s="17">
        <v>0.3</v>
      </c>
      <c r="BA57" s="18">
        <v>4</v>
      </c>
      <c r="BB57" s="11">
        <f t="shared" si="37"/>
        <v>1.2</v>
      </c>
      <c r="BJ57" s="19"/>
      <c r="BK57" s="20"/>
      <c r="BL57" s="20"/>
      <c r="BM57" s="21"/>
      <c r="BN57" s="11"/>
    </row>
    <row r="58" spans="1:66" x14ac:dyDescent="0.3">
      <c r="A58" s="15"/>
      <c r="B58" s="16"/>
      <c r="C58" s="17"/>
      <c r="D58" s="18"/>
      <c r="E58" s="11">
        <f t="shared" si="38"/>
        <v>0</v>
      </c>
      <c r="F58" s="1"/>
      <c r="G58" s="15" t="s">
        <v>20</v>
      </c>
      <c r="H58" s="16"/>
      <c r="I58" s="17">
        <v>0.15</v>
      </c>
      <c r="J58" s="18">
        <v>1</v>
      </c>
      <c r="K58" s="11">
        <f t="shared" si="39"/>
        <v>0.15</v>
      </c>
      <c r="L58" s="1"/>
      <c r="M58" s="15" t="s">
        <v>21</v>
      </c>
      <c r="N58" s="16"/>
      <c r="O58" s="17">
        <v>0.15</v>
      </c>
      <c r="P58" s="18">
        <v>4</v>
      </c>
      <c r="Q58" s="11">
        <f t="shared" si="40"/>
        <v>0.6</v>
      </c>
      <c r="T58" s="15" t="s">
        <v>43</v>
      </c>
      <c r="U58" s="16" t="s">
        <v>44</v>
      </c>
      <c r="V58" s="17">
        <v>14</v>
      </c>
      <c r="W58" s="18">
        <v>1.4999999999999999E-2</v>
      </c>
      <c r="X58" s="11">
        <f t="shared" si="41"/>
        <v>0.21</v>
      </c>
      <c r="AD58" s="15" t="s">
        <v>91</v>
      </c>
      <c r="AE58" s="16"/>
      <c r="AF58" s="17">
        <v>0.15</v>
      </c>
      <c r="AG58" s="18">
        <v>6</v>
      </c>
      <c r="AH58" s="11">
        <f t="shared" si="34"/>
        <v>0.89999999999999991</v>
      </c>
      <c r="AI58" s="1"/>
      <c r="AL58" s="15" t="s">
        <v>45</v>
      </c>
      <c r="AM58" s="16" t="s">
        <v>11</v>
      </c>
      <c r="AN58" s="17">
        <v>1</v>
      </c>
      <c r="AO58" s="18">
        <v>0.24</v>
      </c>
      <c r="AP58" s="11">
        <f t="shared" si="35"/>
        <v>0.24</v>
      </c>
      <c r="AR58" s="15"/>
      <c r="AS58" s="16"/>
      <c r="AT58" s="17"/>
      <c r="AU58" s="18"/>
      <c r="AV58" s="11">
        <f t="shared" si="36"/>
        <v>0</v>
      </c>
      <c r="AW58" s="1"/>
      <c r="AX58" s="15" t="s">
        <v>35</v>
      </c>
      <c r="AY58" s="16"/>
      <c r="AZ58" s="17">
        <v>1</v>
      </c>
      <c r="BA58" s="18">
        <v>0.25</v>
      </c>
      <c r="BB58" s="11">
        <f t="shared" si="37"/>
        <v>0.25</v>
      </c>
      <c r="BJ58" s="19"/>
      <c r="BK58" s="20"/>
      <c r="BL58" s="20"/>
      <c r="BM58" s="21"/>
      <c r="BN58" s="11"/>
    </row>
    <row r="59" spans="1:66" ht="15" thickBot="1" x14ac:dyDescent="0.35">
      <c r="A59" s="15"/>
      <c r="B59" s="16"/>
      <c r="C59" s="17"/>
      <c r="D59" s="18"/>
      <c r="E59" s="11">
        <f t="shared" si="38"/>
        <v>0</v>
      </c>
      <c r="F59" s="1"/>
      <c r="G59" s="15" t="s">
        <v>22</v>
      </c>
      <c r="H59" s="16"/>
      <c r="I59" s="17">
        <v>1</v>
      </c>
      <c r="J59" s="18">
        <v>0.255</v>
      </c>
      <c r="K59" s="11">
        <f t="shared" si="39"/>
        <v>0.255</v>
      </c>
      <c r="L59" s="1"/>
      <c r="M59" s="15" t="s">
        <v>23</v>
      </c>
      <c r="N59" s="16"/>
      <c r="O59" s="17">
        <v>1.7</v>
      </c>
      <c r="P59" s="18">
        <v>0.1</v>
      </c>
      <c r="Q59" s="11">
        <f t="shared" si="40"/>
        <v>0.17</v>
      </c>
      <c r="T59" s="15" t="s">
        <v>45</v>
      </c>
      <c r="U59" s="16" t="s">
        <v>11</v>
      </c>
      <c r="V59" s="17">
        <v>1</v>
      </c>
      <c r="W59" s="18">
        <v>0.219</v>
      </c>
      <c r="X59" s="11">
        <f t="shared" si="41"/>
        <v>0.219</v>
      </c>
      <c r="AD59" s="15" t="s">
        <v>10</v>
      </c>
      <c r="AE59" s="16"/>
      <c r="AF59" s="17">
        <v>9.3800000000000008</v>
      </c>
      <c r="AG59" s="18">
        <v>0.25</v>
      </c>
      <c r="AH59" s="11">
        <f t="shared" si="34"/>
        <v>2.3450000000000002</v>
      </c>
      <c r="AI59" s="1"/>
      <c r="AL59" s="15" t="s">
        <v>46</v>
      </c>
      <c r="AM59" s="16" t="s">
        <v>11</v>
      </c>
      <c r="AN59" s="17">
        <v>4</v>
      </c>
      <c r="AO59" s="18">
        <v>0.01</v>
      </c>
      <c r="AP59" s="11">
        <f t="shared" si="35"/>
        <v>0.04</v>
      </c>
      <c r="AR59" s="15"/>
      <c r="AS59" s="16"/>
      <c r="AT59" s="17"/>
      <c r="AU59" s="18"/>
      <c r="AV59" s="11">
        <f t="shared" si="36"/>
        <v>0</v>
      </c>
      <c r="AW59" s="1"/>
      <c r="AX59" s="15" t="s">
        <v>12</v>
      </c>
      <c r="AY59" s="16"/>
      <c r="AZ59" s="17">
        <v>1.25</v>
      </c>
      <c r="BA59" s="18">
        <v>0.1</v>
      </c>
      <c r="BB59" s="11">
        <f t="shared" si="37"/>
        <v>0.125</v>
      </c>
      <c r="BJ59" s="22"/>
      <c r="BK59" s="23"/>
      <c r="BL59" s="23"/>
      <c r="BM59" s="24"/>
      <c r="BN59" s="25"/>
    </row>
    <row r="60" spans="1:66" ht="15" thickBot="1" x14ac:dyDescent="0.35">
      <c r="A60" s="15"/>
      <c r="B60" s="16"/>
      <c r="C60" s="17"/>
      <c r="D60" s="18"/>
      <c r="E60" s="11">
        <f t="shared" si="38"/>
        <v>0</v>
      </c>
      <c r="F60" s="1"/>
      <c r="G60" s="15" t="s">
        <v>24</v>
      </c>
      <c r="H60" s="16"/>
      <c r="I60" s="17">
        <v>14</v>
      </c>
      <c r="J60" s="18">
        <v>2E-3</v>
      </c>
      <c r="K60" s="11">
        <f t="shared" si="39"/>
        <v>2.8000000000000001E-2</v>
      </c>
      <c r="L60" s="1"/>
      <c r="M60" s="15" t="s">
        <v>488</v>
      </c>
      <c r="N60" s="16"/>
      <c r="O60" s="17">
        <v>27</v>
      </c>
      <c r="P60" s="18">
        <v>0.4</v>
      </c>
      <c r="Q60" s="11">
        <f t="shared" si="40"/>
        <v>10.8</v>
      </c>
      <c r="T60" s="15" t="s">
        <v>46</v>
      </c>
      <c r="U60" s="16" t="s">
        <v>11</v>
      </c>
      <c r="V60" s="17">
        <v>4</v>
      </c>
      <c r="W60" s="18">
        <v>1.4999999999999999E-2</v>
      </c>
      <c r="X60" s="11">
        <f t="shared" si="41"/>
        <v>0.06</v>
      </c>
      <c r="AD60" s="15" t="s">
        <v>290</v>
      </c>
      <c r="AE60" s="16"/>
      <c r="AF60" s="17">
        <v>9.5</v>
      </c>
      <c r="AG60" s="18">
        <v>0.3</v>
      </c>
      <c r="AH60" s="11">
        <f t="shared" si="34"/>
        <v>2.85</v>
      </c>
      <c r="AI60" s="1"/>
      <c r="AL60" s="15" t="s">
        <v>24</v>
      </c>
      <c r="AM60" s="16" t="s">
        <v>11</v>
      </c>
      <c r="AN60" s="17">
        <v>0.02</v>
      </c>
      <c r="AO60" s="18"/>
      <c r="AP60" s="11">
        <f t="shared" si="35"/>
        <v>0</v>
      </c>
      <c r="AR60" s="15"/>
      <c r="AS60" s="16"/>
      <c r="AT60" s="17"/>
      <c r="AU60" s="18"/>
      <c r="AV60" s="11">
        <f t="shared" si="36"/>
        <v>0</v>
      </c>
      <c r="AW60" s="1"/>
      <c r="AX60" s="15"/>
      <c r="AY60" s="16"/>
      <c r="AZ60" s="17"/>
      <c r="BA60" s="18"/>
      <c r="BB60" s="11">
        <v>0.5</v>
      </c>
      <c r="BJ60" s="1"/>
      <c r="BK60" s="1"/>
      <c r="BL60" s="72" t="s">
        <v>26</v>
      </c>
      <c r="BM60" s="73"/>
      <c r="BN60" s="26">
        <f>SUM(BN49:BN59)</f>
        <v>7.9935999999999998</v>
      </c>
    </row>
    <row r="61" spans="1:66" ht="15" thickBot="1" x14ac:dyDescent="0.35">
      <c r="A61" s="15"/>
      <c r="B61" s="16"/>
      <c r="C61" s="17"/>
      <c r="D61" s="18"/>
      <c r="E61" s="11">
        <f t="shared" si="38"/>
        <v>0</v>
      </c>
      <c r="F61" s="1"/>
      <c r="G61" s="15" t="s">
        <v>25</v>
      </c>
      <c r="H61" s="16"/>
      <c r="I61" s="17">
        <v>15</v>
      </c>
      <c r="J61" s="18">
        <v>0.25</v>
      </c>
      <c r="K61" s="11">
        <f t="shared" si="39"/>
        <v>3.75</v>
      </c>
      <c r="L61" s="1"/>
      <c r="M61" s="15"/>
      <c r="N61" s="16"/>
      <c r="O61" s="17"/>
      <c r="P61" s="18"/>
      <c r="Q61" s="11">
        <v>0</v>
      </c>
      <c r="T61" s="15" t="s">
        <v>24</v>
      </c>
      <c r="U61" s="16" t="s">
        <v>11</v>
      </c>
      <c r="V61" s="17">
        <v>0.02</v>
      </c>
      <c r="W61" s="18">
        <v>1.4999999999999999E-2</v>
      </c>
      <c r="X61" s="11">
        <f t="shared" si="41"/>
        <v>2.9999999999999997E-4</v>
      </c>
      <c r="AD61" s="19" t="s">
        <v>49</v>
      </c>
      <c r="AE61" s="20"/>
      <c r="AF61" s="20">
        <v>17.78</v>
      </c>
      <c r="AG61" s="21">
        <v>0.2</v>
      </c>
      <c r="AH61" s="11">
        <f t="shared" si="34"/>
        <v>3.5560000000000005</v>
      </c>
      <c r="AI61" s="1"/>
      <c r="AL61" s="19" t="s">
        <v>295</v>
      </c>
      <c r="AM61" s="20"/>
      <c r="AN61" s="20">
        <v>18</v>
      </c>
      <c r="AO61" s="21"/>
      <c r="AP61" s="11">
        <f t="shared" si="35"/>
        <v>0</v>
      </c>
      <c r="AR61" s="19"/>
      <c r="AS61" s="20"/>
      <c r="AT61" s="20"/>
      <c r="AU61" s="21"/>
      <c r="AV61" s="11">
        <f t="shared" si="36"/>
        <v>0</v>
      </c>
      <c r="AW61" s="1"/>
      <c r="AX61" s="19"/>
      <c r="AY61" s="20"/>
      <c r="AZ61" s="20"/>
      <c r="BA61" s="21"/>
      <c r="BB61" s="11"/>
      <c r="BJ61" s="40" t="s">
        <v>316</v>
      </c>
      <c r="BK61" s="1"/>
      <c r="BL61" s="72" t="s">
        <v>27</v>
      </c>
      <c r="BM61" s="73"/>
      <c r="BN61" s="26">
        <f>+BN60*1.145</f>
        <v>9.1526720000000008</v>
      </c>
    </row>
    <row r="62" spans="1:66" ht="15" thickBot="1" x14ac:dyDescent="0.35">
      <c r="A62" s="19"/>
      <c r="B62" s="20"/>
      <c r="C62" s="20"/>
      <c r="D62" s="21"/>
      <c r="E62" s="11">
        <f t="shared" si="38"/>
        <v>0</v>
      </c>
      <c r="F62" s="1"/>
      <c r="G62" s="19"/>
      <c r="H62" s="20"/>
      <c r="I62" s="20"/>
      <c r="J62" s="21"/>
      <c r="K62" s="11">
        <f t="shared" si="39"/>
        <v>0</v>
      </c>
      <c r="L62" s="1"/>
      <c r="M62" s="19"/>
      <c r="N62" s="20"/>
      <c r="O62" s="20"/>
      <c r="P62" s="21"/>
      <c r="Q62" s="11">
        <f t="shared" si="40"/>
        <v>0</v>
      </c>
      <c r="T62" s="19" t="s">
        <v>295</v>
      </c>
      <c r="U62" s="20"/>
      <c r="V62" s="20">
        <v>18</v>
      </c>
      <c r="W62" s="21">
        <v>0.62</v>
      </c>
      <c r="X62" s="11">
        <f t="shared" si="41"/>
        <v>11.16</v>
      </c>
      <c r="AD62" s="19" t="s">
        <v>436</v>
      </c>
      <c r="AE62" s="20"/>
      <c r="AF62" s="20">
        <v>3</v>
      </c>
      <c r="AG62" s="21">
        <v>0.2</v>
      </c>
      <c r="AH62" s="11">
        <f t="shared" si="34"/>
        <v>0.60000000000000009</v>
      </c>
      <c r="AI62" s="1"/>
      <c r="AL62" s="19" t="s">
        <v>49</v>
      </c>
      <c r="AM62" s="20"/>
      <c r="AN62" s="20">
        <v>1</v>
      </c>
      <c r="AO62" s="21"/>
      <c r="AP62" s="11">
        <f t="shared" si="35"/>
        <v>0</v>
      </c>
      <c r="AR62" s="19"/>
      <c r="AS62" s="20"/>
      <c r="AT62" s="20"/>
      <c r="AU62" s="21"/>
      <c r="AV62" s="11">
        <f t="shared" si="36"/>
        <v>0</v>
      </c>
      <c r="AW62" s="1"/>
      <c r="AX62" s="19"/>
      <c r="AY62" s="20"/>
      <c r="AZ62" s="20"/>
      <c r="BA62" s="21"/>
      <c r="BB62" s="11"/>
      <c r="BJ62" s="1"/>
      <c r="BK62" s="1"/>
      <c r="BL62" s="72" t="s">
        <v>28</v>
      </c>
      <c r="BM62" s="73"/>
      <c r="BN62" s="26">
        <v>60</v>
      </c>
    </row>
    <row r="63" spans="1:66" ht="15" thickBot="1" x14ac:dyDescent="0.35">
      <c r="A63" s="19"/>
      <c r="B63" s="20"/>
      <c r="C63" s="20"/>
      <c r="D63" s="21"/>
      <c r="E63" s="11">
        <f t="shared" si="38"/>
        <v>0</v>
      </c>
      <c r="F63" s="1"/>
      <c r="G63" s="19"/>
      <c r="H63" s="20"/>
      <c r="I63" s="20"/>
      <c r="J63" s="21"/>
      <c r="K63" s="11">
        <f t="shared" si="39"/>
        <v>0</v>
      </c>
      <c r="L63" s="1"/>
      <c r="M63" s="19"/>
      <c r="N63" s="20"/>
      <c r="O63" s="20"/>
      <c r="P63" s="21"/>
      <c r="Q63" s="11">
        <f t="shared" si="40"/>
        <v>0</v>
      </c>
      <c r="T63" s="19" t="s">
        <v>49</v>
      </c>
      <c r="U63" s="20"/>
      <c r="V63" s="20">
        <v>1</v>
      </c>
      <c r="W63" s="21">
        <v>5</v>
      </c>
      <c r="X63" s="11">
        <f t="shared" si="41"/>
        <v>5</v>
      </c>
      <c r="AD63" s="19" t="s">
        <v>292</v>
      </c>
      <c r="AE63" s="20"/>
      <c r="AF63" s="20"/>
      <c r="AG63" s="21"/>
      <c r="AH63" s="11">
        <v>2.5</v>
      </c>
      <c r="AI63" s="1"/>
      <c r="AL63" s="19" t="s">
        <v>8</v>
      </c>
      <c r="AM63" s="20"/>
      <c r="AN63" s="20">
        <v>8.4700000000000006</v>
      </c>
      <c r="AO63" s="21">
        <v>0.5</v>
      </c>
      <c r="AP63" s="11">
        <v>5</v>
      </c>
      <c r="AR63" s="19"/>
      <c r="AS63" s="20"/>
      <c r="AT63" s="20"/>
      <c r="AU63" s="21"/>
      <c r="AV63" s="11">
        <f t="shared" si="36"/>
        <v>0</v>
      </c>
      <c r="AW63" s="1"/>
      <c r="AX63" s="19"/>
      <c r="AY63" s="20"/>
      <c r="AZ63" s="20"/>
      <c r="BA63" s="21"/>
      <c r="BB63" s="11"/>
      <c r="BJ63" s="1"/>
      <c r="BK63" s="1"/>
      <c r="BL63" s="72" t="s">
        <v>29</v>
      </c>
      <c r="BM63" s="74"/>
      <c r="BN63" s="27">
        <f>BN61/BN62*100</f>
        <v>15.254453333333334</v>
      </c>
    </row>
    <row r="64" spans="1:66" x14ac:dyDescent="0.3">
      <c r="A64" s="19"/>
      <c r="B64" s="20"/>
      <c r="C64" s="20"/>
      <c r="D64" s="21"/>
      <c r="E64" s="11">
        <f t="shared" si="38"/>
        <v>0</v>
      </c>
      <c r="F64" s="1"/>
      <c r="G64" s="19"/>
      <c r="H64" s="20"/>
      <c r="I64" s="20"/>
      <c r="J64" s="21"/>
      <c r="K64" s="11">
        <f t="shared" si="39"/>
        <v>0</v>
      </c>
      <c r="L64" s="1"/>
      <c r="M64" s="19"/>
      <c r="N64" s="20"/>
      <c r="O64" s="20"/>
      <c r="P64" s="21"/>
      <c r="Q64" s="11">
        <f t="shared" si="40"/>
        <v>0</v>
      </c>
      <c r="T64" s="19"/>
      <c r="U64" s="20"/>
      <c r="V64" s="20"/>
      <c r="W64" s="21">
        <v>5</v>
      </c>
      <c r="X64" s="11">
        <v>5</v>
      </c>
      <c r="AD64" s="19"/>
      <c r="AE64" s="20"/>
      <c r="AF64" s="20"/>
      <c r="AG64" s="21"/>
      <c r="AH64" s="11"/>
      <c r="AI64" s="1"/>
      <c r="AL64" s="19"/>
      <c r="AM64" s="20"/>
      <c r="AN64" s="20"/>
      <c r="AO64" s="21"/>
      <c r="AP64" s="11">
        <f t="shared" ref="AP64:AP67" si="42">+AO64*AN64</f>
        <v>0</v>
      </c>
      <c r="AR64" s="19"/>
      <c r="AS64" s="20"/>
      <c r="AT64" s="20"/>
      <c r="AU64" s="21"/>
      <c r="AV64" s="11">
        <f t="shared" si="36"/>
        <v>0</v>
      </c>
      <c r="AW64" s="1"/>
      <c r="AX64" s="19"/>
      <c r="AY64" s="20"/>
      <c r="AZ64" s="20"/>
      <c r="BA64" s="21"/>
      <c r="BB64" s="11">
        <f t="shared" si="37"/>
        <v>0</v>
      </c>
      <c r="BJ64" s="1"/>
      <c r="BK64" s="1"/>
      <c r="BL64" s="1"/>
      <c r="BM64" s="28" t="s">
        <v>30</v>
      </c>
      <c r="BN64" s="16">
        <f>100-BN63</f>
        <v>84.745546666666669</v>
      </c>
    </row>
    <row r="65" spans="1:54" x14ac:dyDescent="0.3">
      <c r="A65" s="19"/>
      <c r="B65" s="20"/>
      <c r="C65" s="20"/>
      <c r="D65" s="21"/>
      <c r="E65" s="11">
        <f t="shared" si="38"/>
        <v>0</v>
      </c>
      <c r="F65" s="1"/>
      <c r="G65" s="19"/>
      <c r="H65" s="20"/>
      <c r="I65" s="20"/>
      <c r="J65" s="21"/>
      <c r="K65" s="11">
        <f t="shared" si="39"/>
        <v>0</v>
      </c>
      <c r="L65" s="1"/>
      <c r="M65" s="19"/>
      <c r="N65" s="20"/>
      <c r="O65" s="20"/>
      <c r="P65" s="21"/>
      <c r="Q65" s="11">
        <f t="shared" si="40"/>
        <v>0</v>
      </c>
      <c r="T65" s="19"/>
      <c r="U65" s="20"/>
      <c r="V65" s="20"/>
      <c r="W65" s="21"/>
      <c r="X65" s="11">
        <f t="shared" si="41"/>
        <v>0</v>
      </c>
      <c r="AD65" s="19"/>
      <c r="AE65" s="20"/>
      <c r="AF65" s="20"/>
      <c r="AG65" s="21"/>
      <c r="AH65" s="11">
        <f t="shared" ref="AH65:AH67" si="43">+AG65*AF65</f>
        <v>0</v>
      </c>
      <c r="AI65" s="1"/>
      <c r="AL65" s="19"/>
      <c r="AM65" s="20"/>
      <c r="AN65" s="20"/>
      <c r="AO65" s="21"/>
      <c r="AP65" s="11">
        <f t="shared" si="42"/>
        <v>0</v>
      </c>
      <c r="AR65" s="19"/>
      <c r="AS65" s="20"/>
      <c r="AT65" s="20"/>
      <c r="AU65" s="21"/>
      <c r="AV65" s="11">
        <f t="shared" si="36"/>
        <v>0</v>
      </c>
      <c r="AW65" s="1"/>
      <c r="AX65" s="19"/>
      <c r="AY65" s="20"/>
      <c r="AZ65" s="20"/>
      <c r="BA65" s="21"/>
      <c r="BB65" s="11">
        <f t="shared" si="37"/>
        <v>0</v>
      </c>
    </row>
    <row r="66" spans="1:54" x14ac:dyDescent="0.3">
      <c r="A66" s="19"/>
      <c r="B66" s="20"/>
      <c r="C66" s="20"/>
      <c r="D66" s="21"/>
      <c r="E66" s="11">
        <f t="shared" si="38"/>
        <v>0</v>
      </c>
      <c r="F66" s="1"/>
      <c r="G66" s="19"/>
      <c r="H66" s="20"/>
      <c r="I66" s="20"/>
      <c r="J66" s="21"/>
      <c r="K66" s="11">
        <f t="shared" si="39"/>
        <v>0</v>
      </c>
      <c r="L66" s="1"/>
      <c r="M66" s="19"/>
      <c r="N66" s="20"/>
      <c r="O66" s="20"/>
      <c r="P66" s="21"/>
      <c r="Q66" s="11">
        <f t="shared" si="40"/>
        <v>0</v>
      </c>
      <c r="T66" s="19"/>
      <c r="U66" s="20"/>
      <c r="V66" s="20"/>
      <c r="W66" s="21"/>
      <c r="X66" s="11">
        <f t="shared" si="41"/>
        <v>0</v>
      </c>
      <c r="AD66" s="19"/>
      <c r="AE66" s="20"/>
      <c r="AF66" s="20"/>
      <c r="AG66" s="21"/>
      <c r="AH66" s="11">
        <f t="shared" si="43"/>
        <v>0</v>
      </c>
      <c r="AI66" s="1"/>
      <c r="AL66" s="19"/>
      <c r="AM66" s="20"/>
      <c r="AN66" s="20"/>
      <c r="AO66" s="21"/>
      <c r="AP66" s="11">
        <f t="shared" si="42"/>
        <v>0</v>
      </c>
      <c r="AR66" s="19"/>
      <c r="AS66" s="20"/>
      <c r="AT66" s="20"/>
      <c r="AU66" s="21"/>
      <c r="AV66" s="11">
        <f t="shared" si="36"/>
        <v>0</v>
      </c>
      <c r="AW66" s="1"/>
      <c r="AX66" s="19"/>
      <c r="AY66" s="20"/>
      <c r="AZ66" s="20"/>
      <c r="BA66" s="21"/>
      <c r="BB66" s="11">
        <f t="shared" si="37"/>
        <v>0</v>
      </c>
    </row>
    <row r="67" spans="1:54" x14ac:dyDescent="0.3">
      <c r="A67" s="19"/>
      <c r="B67" s="20"/>
      <c r="C67" s="20"/>
      <c r="D67" s="21"/>
      <c r="E67" s="11">
        <f t="shared" si="38"/>
        <v>0</v>
      </c>
      <c r="F67" s="1"/>
      <c r="G67" s="19"/>
      <c r="H67" s="20"/>
      <c r="I67" s="20"/>
      <c r="J67" s="21"/>
      <c r="K67" s="11">
        <f t="shared" si="39"/>
        <v>0</v>
      </c>
      <c r="L67" s="1"/>
      <c r="M67" s="19"/>
      <c r="N67" s="20"/>
      <c r="O67" s="20"/>
      <c r="P67" s="21"/>
      <c r="Q67" s="11">
        <f t="shared" si="40"/>
        <v>0</v>
      </c>
      <c r="T67" s="19"/>
      <c r="U67" s="20"/>
      <c r="V67" s="20"/>
      <c r="W67" s="21"/>
      <c r="X67" s="11">
        <f t="shared" si="41"/>
        <v>0</v>
      </c>
      <c r="AD67" s="19"/>
      <c r="AE67" s="20"/>
      <c r="AF67" s="20"/>
      <c r="AG67" s="21"/>
      <c r="AH67" s="11">
        <f t="shared" si="43"/>
        <v>0</v>
      </c>
      <c r="AI67" s="1"/>
      <c r="AL67" s="19"/>
      <c r="AM67" s="20"/>
      <c r="AN67" s="20"/>
      <c r="AO67" s="21"/>
      <c r="AP67" s="11">
        <f t="shared" si="42"/>
        <v>0</v>
      </c>
      <c r="AR67" s="19"/>
      <c r="AS67" s="20"/>
      <c r="AT67" s="20"/>
      <c r="AU67" s="21"/>
      <c r="AV67" s="11">
        <f t="shared" si="36"/>
        <v>0</v>
      </c>
      <c r="AW67" s="1"/>
      <c r="AX67" s="19"/>
      <c r="AY67" s="20"/>
      <c r="AZ67" s="20"/>
      <c r="BA67" s="21"/>
      <c r="BB67" s="11">
        <f t="shared" si="37"/>
        <v>0</v>
      </c>
    </row>
    <row r="68" spans="1:54" ht="15" thickBot="1" x14ac:dyDescent="0.35">
      <c r="A68" s="19"/>
      <c r="B68" s="20"/>
      <c r="C68" s="20"/>
      <c r="D68" s="21"/>
      <c r="E68" s="11">
        <f t="shared" si="38"/>
        <v>0</v>
      </c>
      <c r="F68" s="1"/>
      <c r="G68" s="19"/>
      <c r="H68" s="20"/>
      <c r="I68" s="20"/>
      <c r="J68" s="21"/>
      <c r="K68" s="11">
        <f t="shared" si="39"/>
        <v>0</v>
      </c>
      <c r="L68" s="1"/>
      <c r="M68" s="19"/>
      <c r="N68" s="20"/>
      <c r="O68" s="20"/>
      <c r="P68" s="21"/>
      <c r="Q68" s="11">
        <f t="shared" si="40"/>
        <v>0</v>
      </c>
      <c r="T68" s="19"/>
      <c r="U68" s="20"/>
      <c r="V68" s="20"/>
      <c r="W68" s="21"/>
      <c r="X68" s="11">
        <f t="shared" si="41"/>
        <v>0</v>
      </c>
      <c r="AD68" s="22"/>
      <c r="AE68" s="23"/>
      <c r="AF68" s="23"/>
      <c r="AG68" s="24"/>
      <c r="AH68" s="25"/>
      <c r="AI68" s="1"/>
      <c r="AL68" s="22"/>
      <c r="AM68" s="23"/>
      <c r="AN68" s="23"/>
      <c r="AO68" s="24"/>
      <c r="AP68" s="25"/>
      <c r="AR68" s="22"/>
      <c r="AS68" s="23"/>
      <c r="AT68" s="23"/>
      <c r="AU68" s="24"/>
      <c r="AV68" s="25"/>
      <c r="AW68" s="1"/>
      <c r="AX68" s="22"/>
      <c r="AY68" s="23"/>
      <c r="AZ68" s="23"/>
      <c r="BA68" s="24"/>
      <c r="BB68" s="25"/>
    </row>
    <row r="69" spans="1:54" ht="15" thickBot="1" x14ac:dyDescent="0.35">
      <c r="A69" s="22"/>
      <c r="B69" s="23"/>
      <c r="C69" s="23"/>
      <c r="D69" s="24"/>
      <c r="E69" s="25"/>
      <c r="F69" s="1"/>
      <c r="G69" s="22"/>
      <c r="H69" s="23"/>
      <c r="I69" s="23"/>
      <c r="J69" s="24"/>
      <c r="K69" s="25"/>
      <c r="L69" s="1"/>
      <c r="M69" s="22"/>
      <c r="N69" s="23"/>
      <c r="O69" s="23"/>
      <c r="P69" s="24"/>
      <c r="Q69" s="25"/>
      <c r="T69" s="22"/>
      <c r="U69" s="23"/>
      <c r="V69" s="23"/>
      <c r="W69" s="24"/>
      <c r="X69" s="25"/>
      <c r="AD69" s="1"/>
      <c r="AE69" s="1"/>
      <c r="AF69" s="72" t="s">
        <v>26</v>
      </c>
      <c r="AG69" s="73"/>
      <c r="AH69" s="26">
        <f>SUM(AH53:AH68)</f>
        <v>14.118</v>
      </c>
      <c r="AI69" s="26">
        <f>AH69/12</f>
        <v>1.1765000000000001</v>
      </c>
      <c r="AL69" s="1"/>
      <c r="AM69" s="1"/>
      <c r="AN69" s="72" t="s">
        <v>26</v>
      </c>
      <c r="AO69" s="73"/>
      <c r="AP69" s="26">
        <f>SUM(AP53:AP68)</f>
        <v>6.7705000000000002</v>
      </c>
      <c r="AR69" s="1"/>
      <c r="AS69" s="1"/>
      <c r="AT69" s="72" t="s">
        <v>26</v>
      </c>
      <c r="AU69" s="73"/>
      <c r="AV69" s="26">
        <f>SUM(AV53:AV68)</f>
        <v>29.267499999999998</v>
      </c>
      <c r="AW69" s="26">
        <f>AV69/12</f>
        <v>2.4389583333333333</v>
      </c>
      <c r="AX69" s="1"/>
      <c r="AY69" s="1"/>
      <c r="AZ69" s="72" t="s">
        <v>26</v>
      </c>
      <c r="BA69" s="73"/>
      <c r="BB69" s="26">
        <f>SUM(BB53:BB68)</f>
        <v>4.5345000000000004</v>
      </c>
    </row>
    <row r="70" spans="1:54" ht="15" thickBot="1" x14ac:dyDescent="0.35">
      <c r="A70" s="1"/>
      <c r="B70" s="1"/>
      <c r="C70" s="72" t="s">
        <v>26</v>
      </c>
      <c r="D70" s="73"/>
      <c r="E70" s="26">
        <f>SUM(E54:E69)</f>
        <v>10.6</v>
      </c>
      <c r="F70" s="1"/>
      <c r="G70" s="1"/>
      <c r="H70" s="1"/>
      <c r="I70" s="72" t="s">
        <v>26</v>
      </c>
      <c r="J70" s="73"/>
      <c r="K70" s="26">
        <f>SUM(K54:K69)</f>
        <v>5.6979999999999995</v>
      </c>
      <c r="L70" s="1"/>
      <c r="M70" s="1"/>
      <c r="N70" s="1"/>
      <c r="O70" s="72" t="s">
        <v>26</v>
      </c>
      <c r="P70" s="73"/>
      <c r="Q70" s="26">
        <f>SUM(Q54:Q69)</f>
        <v>14.77</v>
      </c>
      <c r="T70" s="1"/>
      <c r="U70" s="1"/>
      <c r="V70" s="72" t="s">
        <v>26</v>
      </c>
      <c r="W70" s="73"/>
      <c r="X70" s="26">
        <f>SUM(X54:X69)</f>
        <v>22.815300000000001</v>
      </c>
      <c r="AD70" s="1"/>
      <c r="AE70" s="1"/>
      <c r="AF70" s="72" t="s">
        <v>27</v>
      </c>
      <c r="AG70" s="73"/>
      <c r="AH70" s="26">
        <f>+AH69*1.145</f>
        <v>16.165110000000002</v>
      </c>
      <c r="AI70" s="26">
        <f>+AI69*1.145</f>
        <v>1.3470925</v>
      </c>
      <c r="AL70" s="1"/>
      <c r="AM70" s="1"/>
      <c r="AN70" s="72" t="s">
        <v>27</v>
      </c>
      <c r="AO70" s="73"/>
      <c r="AP70" s="26">
        <f>+AP69*1.145</f>
        <v>7.7522225000000002</v>
      </c>
      <c r="AR70" s="1"/>
      <c r="AS70" s="1"/>
      <c r="AT70" s="72" t="s">
        <v>27</v>
      </c>
      <c r="AU70" s="73"/>
      <c r="AV70" s="26">
        <f>+AV69*1.145</f>
        <v>33.511287500000002</v>
      </c>
      <c r="AW70" s="26">
        <f>+AW69*1.145</f>
        <v>2.7926072916666667</v>
      </c>
      <c r="AX70" s="40" t="s">
        <v>316</v>
      </c>
      <c r="AY70" s="1"/>
      <c r="AZ70" s="72" t="s">
        <v>27</v>
      </c>
      <c r="BA70" s="73"/>
      <c r="BB70" s="26">
        <f>+BB69*1.145</f>
        <v>5.192002500000001</v>
      </c>
    </row>
    <row r="71" spans="1:54" ht="15" thickBot="1" x14ac:dyDescent="0.35">
      <c r="A71" s="1"/>
      <c r="B71" s="1"/>
      <c r="C71" s="72" t="s">
        <v>27</v>
      </c>
      <c r="D71" s="73"/>
      <c r="E71" s="26">
        <f>+E70*1.145</f>
        <v>12.137</v>
      </c>
      <c r="F71" s="1"/>
      <c r="G71" s="1"/>
      <c r="H71" s="1"/>
      <c r="I71" s="72" t="s">
        <v>27</v>
      </c>
      <c r="J71" s="73"/>
      <c r="K71" s="26">
        <f>+K70*1.145</f>
        <v>6.5242099999999992</v>
      </c>
      <c r="L71" s="1"/>
      <c r="M71" s="1"/>
      <c r="N71" s="1"/>
      <c r="O71" s="72" t="s">
        <v>27</v>
      </c>
      <c r="P71" s="73"/>
      <c r="Q71" s="26">
        <f>+Q70*1.145</f>
        <v>16.911649999999998</v>
      </c>
      <c r="T71" s="1"/>
      <c r="U71" s="1"/>
      <c r="V71" s="72" t="s">
        <v>27</v>
      </c>
      <c r="W71" s="73"/>
      <c r="X71" s="26">
        <f>+X70*1.145</f>
        <v>26.123518499999999</v>
      </c>
      <c r="AD71" s="1"/>
      <c r="AE71" s="1"/>
      <c r="AF71" s="72" t="s">
        <v>28</v>
      </c>
      <c r="AG71" s="73"/>
      <c r="AH71" s="26">
        <v>55</v>
      </c>
      <c r="AI71" s="26">
        <v>4</v>
      </c>
      <c r="AL71" s="1"/>
      <c r="AM71" s="1"/>
      <c r="AN71" s="72" t="s">
        <v>28</v>
      </c>
      <c r="AO71" s="73"/>
      <c r="AP71" s="26">
        <v>30</v>
      </c>
      <c r="AR71" s="1"/>
      <c r="AS71" s="1"/>
      <c r="AT71" s="72" t="s">
        <v>28</v>
      </c>
      <c r="AU71" s="73"/>
      <c r="AV71" s="26">
        <v>100</v>
      </c>
      <c r="AW71" s="26">
        <v>4</v>
      </c>
      <c r="AX71" s="1"/>
      <c r="AY71" s="1"/>
      <c r="AZ71" s="72" t="s">
        <v>28</v>
      </c>
      <c r="BA71" s="73"/>
      <c r="BB71" s="26">
        <v>48</v>
      </c>
    </row>
    <row r="72" spans="1:54" ht="15" thickBot="1" x14ac:dyDescent="0.35">
      <c r="A72" s="1"/>
      <c r="B72" s="1"/>
      <c r="C72" s="72" t="s">
        <v>28</v>
      </c>
      <c r="D72" s="73"/>
      <c r="E72" s="26">
        <v>18</v>
      </c>
      <c r="F72" s="1"/>
      <c r="G72" s="1"/>
      <c r="H72" s="1"/>
      <c r="I72" s="72" t="s">
        <v>28</v>
      </c>
      <c r="J72" s="73"/>
      <c r="K72" s="26">
        <v>18</v>
      </c>
      <c r="L72" s="1"/>
      <c r="M72" s="1"/>
      <c r="N72" s="1"/>
      <c r="O72" s="72">
        <v>18</v>
      </c>
      <c r="P72" s="73"/>
      <c r="Q72" s="26">
        <v>16</v>
      </c>
      <c r="T72" s="1"/>
      <c r="U72" s="1"/>
      <c r="V72" s="72" t="s">
        <v>28</v>
      </c>
      <c r="W72" s="73"/>
      <c r="X72" s="26">
        <v>50</v>
      </c>
      <c r="AD72" s="1"/>
      <c r="AE72" s="1"/>
      <c r="AF72" s="72" t="s">
        <v>29</v>
      </c>
      <c r="AG72" s="74"/>
      <c r="AH72" s="27">
        <f>AH70/AH71*100</f>
        <v>29.391109090909097</v>
      </c>
      <c r="AI72" s="27">
        <f>AI70/AI71*100</f>
        <v>33.677312499999999</v>
      </c>
      <c r="AL72" s="1"/>
      <c r="AM72" s="1"/>
      <c r="AN72" s="72" t="s">
        <v>29</v>
      </c>
      <c r="AO72" s="74"/>
      <c r="AP72" s="27">
        <f>AP70/AP71*100</f>
        <v>25.840741666666666</v>
      </c>
      <c r="AR72" s="1"/>
      <c r="AS72" s="1"/>
      <c r="AT72" s="72" t="s">
        <v>29</v>
      </c>
      <c r="AU72" s="74"/>
      <c r="AV72" s="27">
        <f>AV70/AV71*100</f>
        <v>33.511287500000002</v>
      </c>
      <c r="AW72" s="27">
        <f>AW70/AW71*100</f>
        <v>69.815182291666673</v>
      </c>
      <c r="AX72" s="1"/>
      <c r="AY72" s="1"/>
      <c r="AZ72" s="72" t="s">
        <v>29</v>
      </c>
      <c r="BA72" s="74"/>
      <c r="BB72" s="27">
        <f>BB70/BB71*100</f>
        <v>10.816671875000001</v>
      </c>
    </row>
    <row r="73" spans="1:54" ht="15" thickBot="1" x14ac:dyDescent="0.35">
      <c r="A73" s="1"/>
      <c r="B73" s="1"/>
      <c r="C73" s="72" t="s">
        <v>29</v>
      </c>
      <c r="D73" s="74"/>
      <c r="E73" s="27">
        <f>E71/E72*100</f>
        <v>67.427777777777777</v>
      </c>
      <c r="F73" s="1"/>
      <c r="G73" s="1"/>
      <c r="H73" s="1"/>
      <c r="I73" s="72" t="s">
        <v>29</v>
      </c>
      <c r="J73" s="74"/>
      <c r="K73" s="27">
        <f>K71/K72*100</f>
        <v>36.24561111111111</v>
      </c>
      <c r="L73" s="1"/>
      <c r="M73" s="1"/>
      <c r="N73" s="1"/>
      <c r="O73" s="72" t="s">
        <v>29</v>
      </c>
      <c r="P73" s="74"/>
      <c r="Q73" s="27">
        <f>Q71/Q72*100</f>
        <v>105.69781249999998</v>
      </c>
      <c r="T73" s="1"/>
      <c r="U73" s="1"/>
      <c r="V73" s="72" t="s">
        <v>29</v>
      </c>
      <c r="W73" s="74"/>
      <c r="X73" s="27">
        <f>X71/X72*100</f>
        <v>52.247036999999999</v>
      </c>
      <c r="AD73" s="1"/>
      <c r="AE73" s="1"/>
      <c r="AF73" s="1"/>
      <c r="AG73" s="28" t="s">
        <v>30</v>
      </c>
      <c r="AH73" s="16" t="s">
        <v>439</v>
      </c>
      <c r="AI73" s="16">
        <f>100-AI72</f>
        <v>66.322687500000001</v>
      </c>
      <c r="AL73" s="1"/>
      <c r="AM73" s="1"/>
      <c r="AN73" s="1"/>
      <c r="AO73" s="28" t="s">
        <v>30</v>
      </c>
      <c r="AP73" s="16">
        <f>100-AP72</f>
        <v>74.159258333333327</v>
      </c>
      <c r="AR73" s="1"/>
      <c r="AS73" s="1"/>
      <c r="AT73" s="1"/>
      <c r="AU73" s="28" t="s">
        <v>30</v>
      </c>
      <c r="AV73" s="16">
        <f>100-AV72</f>
        <v>66.488712499999991</v>
      </c>
      <c r="AW73" s="16">
        <f>100-AW72</f>
        <v>30.184817708333327</v>
      </c>
      <c r="AX73" s="1"/>
      <c r="AY73" s="1"/>
      <c r="AZ73" s="1"/>
      <c r="BA73" s="28" t="s">
        <v>30</v>
      </c>
      <c r="BB73" s="16">
        <f>100-BB72</f>
        <v>89.183328125000003</v>
      </c>
    </row>
    <row r="74" spans="1:54" x14ac:dyDescent="0.3">
      <c r="A74" s="1"/>
      <c r="B74" s="1"/>
      <c r="C74" s="1"/>
      <c r="D74" s="28" t="s">
        <v>30</v>
      </c>
      <c r="E74" s="16">
        <f>100-E73</f>
        <v>32.572222222222223</v>
      </c>
      <c r="F74" s="1"/>
      <c r="G74" s="1"/>
      <c r="H74" s="1"/>
      <c r="I74" s="1"/>
      <c r="J74" s="28" t="s">
        <v>30</v>
      </c>
      <c r="K74" s="16">
        <f>100-K73</f>
        <v>63.75438888888889</v>
      </c>
      <c r="L74" s="1"/>
      <c r="M74" s="1"/>
      <c r="N74" s="1"/>
      <c r="O74" s="1"/>
      <c r="P74" s="28" t="s">
        <v>30</v>
      </c>
      <c r="Q74" s="16">
        <f>100-Q73</f>
        <v>-5.6978124999999835</v>
      </c>
      <c r="T74" s="1"/>
      <c r="U74" s="1"/>
      <c r="V74" s="1"/>
      <c r="W74" s="28" t="s">
        <v>30</v>
      </c>
      <c r="X74" s="16">
        <f>100-X73</f>
        <v>47.752963000000001</v>
      </c>
    </row>
    <row r="76" spans="1:54" ht="15" thickBot="1" x14ac:dyDescent="0.35"/>
    <row r="77" spans="1:54" ht="15" thickBot="1" x14ac:dyDescent="0.35">
      <c r="A77" s="69" t="s">
        <v>492</v>
      </c>
      <c r="B77" s="70"/>
      <c r="C77" s="70"/>
      <c r="D77" s="70"/>
      <c r="E77" s="71"/>
      <c r="G77" s="69" t="s">
        <v>31</v>
      </c>
      <c r="H77" s="70"/>
      <c r="I77" s="70"/>
      <c r="J77" s="70"/>
      <c r="K77" s="71"/>
      <c r="M77" s="69" t="s">
        <v>2</v>
      </c>
      <c r="N77" s="70"/>
      <c r="O77" s="70"/>
      <c r="P77" s="70"/>
      <c r="Q77" s="71"/>
      <c r="T77" s="69" t="s">
        <v>85</v>
      </c>
      <c r="U77" s="70"/>
      <c r="V77" s="70"/>
      <c r="W77" s="70"/>
      <c r="X77" s="71"/>
      <c r="AD77" s="75" t="s">
        <v>288</v>
      </c>
      <c r="AE77" s="75"/>
      <c r="AF77" s="75"/>
      <c r="AG77" s="75"/>
      <c r="AH77" s="76"/>
      <c r="AI77" s="1"/>
      <c r="AK77" s="69" t="s">
        <v>499</v>
      </c>
      <c r="AL77" s="70"/>
      <c r="AM77" s="70"/>
      <c r="AN77" s="70"/>
      <c r="AO77" s="71"/>
    </row>
    <row r="78" spans="1:54" ht="15" thickBot="1" x14ac:dyDescent="0.35">
      <c r="A78" s="2" t="s">
        <v>3</v>
      </c>
      <c r="B78" s="3" t="s">
        <v>4</v>
      </c>
      <c r="C78" s="3" t="s">
        <v>5</v>
      </c>
      <c r="D78" s="4" t="s">
        <v>6</v>
      </c>
      <c r="E78" s="5" t="s">
        <v>7</v>
      </c>
      <c r="G78" s="2" t="s">
        <v>3</v>
      </c>
      <c r="H78" s="3" t="s">
        <v>4</v>
      </c>
      <c r="I78" s="3" t="s">
        <v>5</v>
      </c>
      <c r="J78" s="4" t="s">
        <v>6</v>
      </c>
      <c r="K78" s="5" t="s">
        <v>7</v>
      </c>
      <c r="M78" s="2" t="s">
        <v>3</v>
      </c>
      <c r="N78" s="6" t="s">
        <v>4</v>
      </c>
      <c r="O78" s="6" t="s">
        <v>5</v>
      </c>
      <c r="P78" s="4" t="s">
        <v>6</v>
      </c>
      <c r="Q78" s="5" t="s">
        <v>7</v>
      </c>
      <c r="T78" s="2" t="s">
        <v>3</v>
      </c>
      <c r="U78" s="3" t="s">
        <v>4</v>
      </c>
      <c r="V78" s="3" t="s">
        <v>5</v>
      </c>
      <c r="W78" s="4" t="s">
        <v>6</v>
      </c>
      <c r="X78" s="5" t="s">
        <v>7</v>
      </c>
      <c r="AD78" s="2" t="s">
        <v>3</v>
      </c>
      <c r="AE78" s="3" t="s">
        <v>4</v>
      </c>
      <c r="AF78" s="3" t="s">
        <v>5</v>
      </c>
      <c r="AG78" s="4" t="s">
        <v>6</v>
      </c>
      <c r="AH78" s="5" t="s">
        <v>7</v>
      </c>
      <c r="AI78" s="1"/>
      <c r="AK78" s="2" t="s">
        <v>3</v>
      </c>
      <c r="AL78" s="3" t="s">
        <v>4</v>
      </c>
      <c r="AM78" s="3" t="s">
        <v>5</v>
      </c>
      <c r="AN78" s="4" t="s">
        <v>6</v>
      </c>
      <c r="AO78" s="5" t="s">
        <v>7</v>
      </c>
    </row>
    <row r="79" spans="1:54" ht="15" thickBot="1" x14ac:dyDescent="0.35">
      <c r="A79" s="7" t="s">
        <v>90</v>
      </c>
      <c r="B79" s="8" t="s">
        <v>11</v>
      </c>
      <c r="C79" s="9">
        <v>0.15</v>
      </c>
      <c r="D79" s="10">
        <v>20</v>
      </c>
      <c r="E79" s="11">
        <f t="shared" ref="E79:E93" si="44">+D79*C79</f>
        <v>3</v>
      </c>
      <c r="G79" s="7" t="s">
        <v>8</v>
      </c>
      <c r="H79" s="8" t="s">
        <v>11</v>
      </c>
      <c r="I79" s="9">
        <v>8.6999999999999993</v>
      </c>
      <c r="J79" s="10">
        <v>0.1</v>
      </c>
      <c r="K79" s="11">
        <f t="shared" ref="K79:K82" si="45">+J79*I79</f>
        <v>0.87</v>
      </c>
      <c r="M79" s="12" t="s">
        <v>12</v>
      </c>
      <c r="N79" s="13"/>
      <c r="O79" s="14">
        <v>1.25</v>
      </c>
      <c r="P79" s="10">
        <v>2</v>
      </c>
      <c r="Q79" s="11">
        <f t="shared" ref="Q79:Q85" si="46">+P79*O79</f>
        <v>2.5</v>
      </c>
      <c r="T79" s="7" t="s">
        <v>22</v>
      </c>
      <c r="U79" s="8" t="s">
        <v>34</v>
      </c>
      <c r="V79" s="9">
        <v>1</v>
      </c>
      <c r="W79" s="10">
        <v>4</v>
      </c>
      <c r="X79" s="11">
        <f t="shared" ref="X79:X93" si="47">+W79*V79</f>
        <v>4</v>
      </c>
      <c r="AD79" s="7" t="s">
        <v>22</v>
      </c>
      <c r="AE79" s="8" t="s">
        <v>34</v>
      </c>
      <c r="AF79" s="9">
        <v>1</v>
      </c>
      <c r="AG79" s="10">
        <v>0.06</v>
      </c>
      <c r="AH79" s="11">
        <f t="shared" ref="AH79:AH87" si="48">+AG79*AF79</f>
        <v>0.06</v>
      </c>
      <c r="AI79" s="1"/>
      <c r="AK79" s="7" t="s">
        <v>22</v>
      </c>
      <c r="AL79" s="8" t="s">
        <v>34</v>
      </c>
      <c r="AM79" s="9">
        <v>1.2</v>
      </c>
      <c r="AN79" s="10">
        <v>0.42</v>
      </c>
      <c r="AO79" s="11">
        <f t="shared" ref="AO79:AO86" si="49">+AN79*AM79</f>
        <v>0.504</v>
      </c>
    </row>
    <row r="80" spans="1:54" x14ac:dyDescent="0.3">
      <c r="A80" s="15" t="s">
        <v>414</v>
      </c>
      <c r="B80" s="16" t="s">
        <v>11</v>
      </c>
      <c r="C80" s="17">
        <v>1.52</v>
      </c>
      <c r="D80" s="18"/>
      <c r="E80" s="11">
        <f t="shared" si="44"/>
        <v>0</v>
      </c>
      <c r="G80" s="15" t="s">
        <v>33</v>
      </c>
      <c r="H80" s="16" t="s">
        <v>11</v>
      </c>
      <c r="I80" s="17">
        <v>1</v>
      </c>
      <c r="J80" s="18">
        <v>0.1</v>
      </c>
      <c r="K80" s="11">
        <f t="shared" si="45"/>
        <v>0.1</v>
      </c>
      <c r="M80" s="7" t="s">
        <v>15</v>
      </c>
      <c r="N80" s="16"/>
      <c r="O80" s="17">
        <v>14</v>
      </c>
      <c r="P80" s="18">
        <v>5.0000000000000001E-3</v>
      </c>
      <c r="Q80" s="11">
        <f t="shared" si="46"/>
        <v>7.0000000000000007E-2</v>
      </c>
      <c r="T80" s="15" t="s">
        <v>24</v>
      </c>
      <c r="U80" s="16"/>
      <c r="V80" s="17">
        <v>0.02</v>
      </c>
      <c r="W80" s="18">
        <v>0.08</v>
      </c>
      <c r="X80" s="11">
        <f t="shared" si="47"/>
        <v>1.6000000000000001E-3</v>
      </c>
      <c r="AD80" s="15" t="s">
        <v>23</v>
      </c>
      <c r="AE80" s="16"/>
      <c r="AF80" s="17">
        <v>1.7</v>
      </c>
      <c r="AG80" s="18">
        <v>0.06</v>
      </c>
      <c r="AH80" s="11">
        <f t="shared" si="48"/>
        <v>0.10199999999999999</v>
      </c>
      <c r="AI80" s="1"/>
      <c r="AK80" s="15" t="s">
        <v>19</v>
      </c>
      <c r="AL80" s="16"/>
      <c r="AM80" s="17">
        <v>1.4999999999999999E-2</v>
      </c>
      <c r="AN80" s="18">
        <v>2</v>
      </c>
      <c r="AO80" s="11">
        <f t="shared" si="49"/>
        <v>0.03</v>
      </c>
    </row>
    <row r="81" spans="1:41" x14ac:dyDescent="0.3">
      <c r="A81" s="15" t="s">
        <v>8</v>
      </c>
      <c r="B81" s="16" t="s">
        <v>11</v>
      </c>
      <c r="C81" s="17">
        <v>9.48</v>
      </c>
      <c r="D81" s="18">
        <v>0.6</v>
      </c>
      <c r="E81" s="11">
        <f t="shared" si="44"/>
        <v>5.6879999999999997</v>
      </c>
      <c r="G81" s="15" t="s">
        <v>19</v>
      </c>
      <c r="H81" s="16" t="s">
        <v>34</v>
      </c>
      <c r="I81" s="17">
        <v>0.15</v>
      </c>
      <c r="J81" s="18">
        <v>2</v>
      </c>
      <c r="K81" s="11">
        <f t="shared" si="45"/>
        <v>0.3</v>
      </c>
      <c r="M81" s="15" t="s">
        <v>18</v>
      </c>
      <c r="N81" s="16"/>
      <c r="O81" s="17">
        <v>1.5</v>
      </c>
      <c r="P81" s="18">
        <v>0.02</v>
      </c>
      <c r="Q81" s="11">
        <f t="shared" si="46"/>
        <v>0.03</v>
      </c>
      <c r="T81" s="15" t="s">
        <v>95</v>
      </c>
      <c r="U81" s="16"/>
      <c r="V81" s="17"/>
      <c r="W81" s="18">
        <v>0.02</v>
      </c>
      <c r="X81" s="11">
        <f t="shared" si="47"/>
        <v>0</v>
      </c>
      <c r="AD81" s="15" t="s">
        <v>289</v>
      </c>
      <c r="AE81" s="16"/>
      <c r="AF81" s="17">
        <v>1</v>
      </c>
      <c r="AG81" s="18">
        <v>0.125</v>
      </c>
      <c r="AH81" s="11">
        <f t="shared" si="48"/>
        <v>0.125</v>
      </c>
      <c r="AI81" s="1"/>
      <c r="AK81" s="15" t="s">
        <v>502</v>
      </c>
      <c r="AL81" s="16"/>
      <c r="AM81" s="17">
        <v>1</v>
      </c>
      <c r="AN81" s="18">
        <v>0.22</v>
      </c>
      <c r="AO81" s="11">
        <f t="shared" si="49"/>
        <v>0.22</v>
      </c>
    </row>
    <row r="82" spans="1:41" x14ac:dyDescent="0.3">
      <c r="A82" s="15" t="s">
        <v>39</v>
      </c>
      <c r="B82" s="16" t="s">
        <v>11</v>
      </c>
      <c r="C82" s="17">
        <v>8</v>
      </c>
      <c r="D82" s="18"/>
      <c r="E82" s="11">
        <f t="shared" si="44"/>
        <v>0</v>
      </c>
      <c r="G82" s="15" t="s">
        <v>36</v>
      </c>
      <c r="H82" s="16" t="s">
        <v>11</v>
      </c>
      <c r="I82" s="17">
        <v>10.74</v>
      </c>
      <c r="J82" s="18">
        <v>0.1</v>
      </c>
      <c r="K82" s="11">
        <f t="shared" si="45"/>
        <v>1.0740000000000001</v>
      </c>
      <c r="M82" s="15" t="s">
        <v>19</v>
      </c>
      <c r="N82" s="16"/>
      <c r="O82" s="17">
        <v>0.15</v>
      </c>
      <c r="P82" s="18">
        <v>4</v>
      </c>
      <c r="Q82" s="11">
        <f t="shared" si="46"/>
        <v>0.6</v>
      </c>
      <c r="T82" s="15" t="s">
        <v>98</v>
      </c>
      <c r="U82" s="16" t="s">
        <v>44</v>
      </c>
      <c r="V82" s="17">
        <v>1.5</v>
      </c>
      <c r="W82" s="18">
        <v>0.05</v>
      </c>
      <c r="X82" s="11">
        <f t="shared" si="47"/>
        <v>7.5000000000000011E-2</v>
      </c>
      <c r="AD82" s="15" t="s">
        <v>91</v>
      </c>
      <c r="AE82" s="16"/>
      <c r="AF82" s="17">
        <v>0.15</v>
      </c>
      <c r="AG82" s="18">
        <v>6</v>
      </c>
      <c r="AH82" s="11">
        <f t="shared" si="48"/>
        <v>0.89999999999999991</v>
      </c>
      <c r="AI82" s="1"/>
      <c r="AK82" s="15" t="s">
        <v>10</v>
      </c>
      <c r="AL82" s="16"/>
      <c r="AM82" s="17">
        <v>9.43</v>
      </c>
      <c r="AN82" s="18">
        <v>0.25</v>
      </c>
      <c r="AO82" s="11">
        <f t="shared" si="49"/>
        <v>2.3574999999999999</v>
      </c>
    </row>
    <row r="83" spans="1:41" x14ac:dyDescent="0.3">
      <c r="A83" s="15" t="s">
        <v>45</v>
      </c>
      <c r="B83" s="16" t="s">
        <v>9</v>
      </c>
      <c r="C83" s="17">
        <v>1.1000000000000001</v>
      </c>
      <c r="D83" s="18">
        <v>1.2</v>
      </c>
      <c r="E83" s="11">
        <f t="shared" si="44"/>
        <v>1.32</v>
      </c>
      <c r="G83" s="15" t="s">
        <v>40</v>
      </c>
      <c r="H83" s="17" t="s">
        <v>41</v>
      </c>
      <c r="I83" s="17" t="s">
        <v>41</v>
      </c>
      <c r="J83" s="18"/>
      <c r="K83" s="11"/>
      <c r="M83" s="15" t="s">
        <v>21</v>
      </c>
      <c r="N83" s="16"/>
      <c r="O83" s="17">
        <v>0.15</v>
      </c>
      <c r="P83" s="18">
        <v>4</v>
      </c>
      <c r="Q83" s="11">
        <f t="shared" si="46"/>
        <v>0.6</v>
      </c>
      <c r="T83" s="15"/>
      <c r="U83" s="16"/>
      <c r="V83" s="17"/>
      <c r="W83" s="18"/>
      <c r="X83" s="11">
        <f t="shared" si="47"/>
        <v>0</v>
      </c>
      <c r="AD83" s="15" t="s">
        <v>289</v>
      </c>
      <c r="AE83" s="16"/>
      <c r="AF83" s="17">
        <v>1</v>
      </c>
      <c r="AG83" s="18">
        <v>0.18</v>
      </c>
      <c r="AH83" s="11">
        <f t="shared" si="48"/>
        <v>0.18</v>
      </c>
      <c r="AI83" s="1"/>
      <c r="AK83" s="19" t="s">
        <v>500</v>
      </c>
      <c r="AL83" s="20"/>
      <c r="AM83" s="20">
        <v>1</v>
      </c>
      <c r="AN83" s="21">
        <v>0.12</v>
      </c>
      <c r="AO83" s="11">
        <f t="shared" si="49"/>
        <v>0.12</v>
      </c>
    </row>
    <row r="84" spans="1:41" x14ac:dyDescent="0.3">
      <c r="A84" s="15" t="s">
        <v>103</v>
      </c>
      <c r="B84" s="16" t="s">
        <v>11</v>
      </c>
      <c r="C84" s="17">
        <v>12.39</v>
      </c>
      <c r="D84" s="18"/>
      <c r="E84" s="11">
        <f t="shared" si="44"/>
        <v>0</v>
      </c>
      <c r="G84" s="15"/>
      <c r="H84" s="16"/>
      <c r="I84" s="17"/>
      <c r="J84" s="18"/>
      <c r="K84" s="11">
        <f t="shared" ref="K84:K93" si="50">+J84*I84</f>
        <v>0</v>
      </c>
      <c r="M84" s="15" t="s">
        <v>23</v>
      </c>
      <c r="N84" s="16"/>
      <c r="O84" s="17">
        <v>1.7</v>
      </c>
      <c r="P84" s="18">
        <v>0.1</v>
      </c>
      <c r="Q84" s="11">
        <f t="shared" si="46"/>
        <v>0.17</v>
      </c>
      <c r="T84" s="15"/>
      <c r="U84" s="16"/>
      <c r="V84" s="17"/>
      <c r="W84" s="18"/>
      <c r="X84" s="11">
        <f t="shared" si="47"/>
        <v>0</v>
      </c>
      <c r="AD84" s="15" t="s">
        <v>91</v>
      </c>
      <c r="AE84" s="16"/>
      <c r="AF84" s="17">
        <v>0.15</v>
      </c>
      <c r="AG84" s="18">
        <v>6</v>
      </c>
      <c r="AH84" s="11">
        <f t="shared" si="48"/>
        <v>0.89999999999999991</v>
      </c>
      <c r="AI84" s="1"/>
      <c r="AK84" s="15" t="s">
        <v>501</v>
      </c>
      <c r="AL84" s="16"/>
      <c r="AM84" s="17">
        <v>7.2</v>
      </c>
      <c r="AN84" s="18">
        <v>0.35</v>
      </c>
      <c r="AO84" s="11">
        <f t="shared" si="49"/>
        <v>2.52</v>
      </c>
    </row>
    <row r="85" spans="1:41" x14ac:dyDescent="0.3">
      <c r="A85" s="15" t="s">
        <v>15</v>
      </c>
      <c r="B85" s="16"/>
      <c r="C85" s="17">
        <v>1.5</v>
      </c>
      <c r="D85" s="18"/>
      <c r="E85" s="11">
        <f t="shared" si="44"/>
        <v>0</v>
      </c>
      <c r="G85" s="15"/>
      <c r="H85" s="16"/>
      <c r="I85" s="17"/>
      <c r="J85" s="18"/>
      <c r="K85" s="11">
        <f t="shared" si="50"/>
        <v>0</v>
      </c>
      <c r="M85" s="15"/>
      <c r="N85" s="16"/>
      <c r="O85" s="17"/>
      <c r="P85" s="18"/>
      <c r="Q85" s="11">
        <f t="shared" si="46"/>
        <v>0</v>
      </c>
      <c r="T85" s="15"/>
      <c r="U85" s="16"/>
      <c r="V85" s="17"/>
      <c r="W85" s="18"/>
      <c r="X85" s="11">
        <f t="shared" si="47"/>
        <v>0</v>
      </c>
      <c r="AD85" s="15" t="s">
        <v>10</v>
      </c>
      <c r="AE85" s="16"/>
      <c r="AF85" s="17">
        <v>9.3800000000000008</v>
      </c>
      <c r="AG85" s="18">
        <v>0.25</v>
      </c>
      <c r="AH85" s="11">
        <f t="shared" si="48"/>
        <v>2.3450000000000002</v>
      </c>
      <c r="AI85" s="1"/>
      <c r="AK85" s="19"/>
      <c r="AL85" s="20"/>
      <c r="AM85" s="20"/>
      <c r="AN85" s="21"/>
      <c r="AO85" s="11">
        <f t="shared" si="49"/>
        <v>0</v>
      </c>
    </row>
    <row r="86" spans="1:41" x14ac:dyDescent="0.3">
      <c r="A86" s="15"/>
      <c r="B86" s="16"/>
      <c r="C86" s="17"/>
      <c r="D86" s="18"/>
      <c r="E86" s="11">
        <f t="shared" si="44"/>
        <v>0</v>
      </c>
      <c r="G86" s="15"/>
      <c r="H86" s="16"/>
      <c r="I86" s="17"/>
      <c r="J86" s="18"/>
      <c r="K86" s="11">
        <f t="shared" si="50"/>
        <v>0</v>
      </c>
      <c r="M86" s="15"/>
      <c r="N86" s="16"/>
      <c r="O86" s="17"/>
      <c r="P86" s="18"/>
      <c r="Q86" s="11">
        <v>0</v>
      </c>
      <c r="T86" s="15"/>
      <c r="U86" s="16"/>
      <c r="V86" s="17"/>
      <c r="W86" s="18"/>
      <c r="X86" s="11">
        <f t="shared" si="47"/>
        <v>0</v>
      </c>
      <c r="AD86" s="15" t="s">
        <v>290</v>
      </c>
      <c r="AE86" s="16"/>
      <c r="AF86" s="17">
        <v>9.5</v>
      </c>
      <c r="AG86" s="18">
        <v>0.25</v>
      </c>
      <c r="AH86" s="11">
        <f t="shared" si="48"/>
        <v>2.375</v>
      </c>
      <c r="AI86" s="1"/>
      <c r="AK86" s="19"/>
      <c r="AL86" s="20"/>
      <c r="AM86" s="20"/>
      <c r="AN86" s="21"/>
      <c r="AO86" s="11">
        <f t="shared" si="49"/>
        <v>0</v>
      </c>
    </row>
    <row r="87" spans="1:41" x14ac:dyDescent="0.3">
      <c r="A87" s="19"/>
      <c r="B87" s="20"/>
      <c r="C87" s="20"/>
      <c r="D87" s="21"/>
      <c r="E87" s="11">
        <f t="shared" si="44"/>
        <v>0</v>
      </c>
      <c r="G87" s="19"/>
      <c r="H87" s="20"/>
      <c r="I87" s="20"/>
      <c r="J87" s="21"/>
      <c r="K87" s="11">
        <f t="shared" si="50"/>
        <v>0</v>
      </c>
      <c r="M87" s="19"/>
      <c r="N87" s="20"/>
      <c r="O87" s="20"/>
      <c r="P87" s="21"/>
      <c r="Q87" s="11">
        <f t="shared" ref="Q87:Q93" si="51">+P87*O87</f>
        <v>0</v>
      </c>
      <c r="T87" s="19"/>
      <c r="U87" s="20"/>
      <c r="V87" s="20"/>
      <c r="W87" s="21"/>
      <c r="X87" s="11">
        <f t="shared" si="47"/>
        <v>0</v>
      </c>
      <c r="AD87" s="19" t="s">
        <v>49</v>
      </c>
      <c r="AE87" s="20"/>
      <c r="AF87" s="20">
        <v>17.78</v>
      </c>
      <c r="AG87" s="21">
        <v>0</v>
      </c>
      <c r="AH87" s="11">
        <f t="shared" si="48"/>
        <v>0</v>
      </c>
      <c r="AI87" s="1"/>
      <c r="AK87" s="19"/>
      <c r="AL87" s="20"/>
      <c r="AM87" s="20"/>
      <c r="AN87" s="21"/>
      <c r="AO87" s="11"/>
    </row>
    <row r="88" spans="1:41" x14ac:dyDescent="0.3">
      <c r="A88" s="19"/>
      <c r="B88" s="20"/>
      <c r="C88" s="20"/>
      <c r="D88" s="21"/>
      <c r="E88" s="11">
        <f t="shared" si="44"/>
        <v>0</v>
      </c>
      <c r="G88" s="19"/>
      <c r="H88" s="20"/>
      <c r="I88" s="20"/>
      <c r="J88" s="21"/>
      <c r="K88" s="11">
        <f t="shared" si="50"/>
        <v>0</v>
      </c>
      <c r="M88" s="19"/>
      <c r="N88" s="20"/>
      <c r="O88" s="20"/>
      <c r="P88" s="21"/>
      <c r="Q88" s="11">
        <f t="shared" si="51"/>
        <v>0</v>
      </c>
      <c r="T88" s="19"/>
      <c r="U88" s="20"/>
      <c r="V88" s="20"/>
      <c r="W88" s="21"/>
      <c r="X88" s="11">
        <f t="shared" si="47"/>
        <v>0</v>
      </c>
      <c r="AD88" s="19" t="s">
        <v>291</v>
      </c>
      <c r="AE88" s="20"/>
      <c r="AF88" s="20"/>
      <c r="AG88" s="21"/>
      <c r="AH88" s="11">
        <v>0.5</v>
      </c>
      <c r="AI88" s="1"/>
      <c r="AK88" s="19"/>
      <c r="AL88" s="20"/>
      <c r="AM88" s="20"/>
      <c r="AN88" s="21"/>
      <c r="AO88" s="11"/>
    </row>
    <row r="89" spans="1:41" ht="15" thickBot="1" x14ac:dyDescent="0.35">
      <c r="A89" s="19"/>
      <c r="B89" s="20"/>
      <c r="C89" s="20"/>
      <c r="D89" s="21"/>
      <c r="E89" s="11">
        <f t="shared" si="44"/>
        <v>0</v>
      </c>
      <c r="G89" s="19"/>
      <c r="H89" s="20"/>
      <c r="I89" s="20"/>
      <c r="J89" s="21"/>
      <c r="K89" s="11">
        <f t="shared" si="50"/>
        <v>0</v>
      </c>
      <c r="M89" s="19"/>
      <c r="N89" s="20"/>
      <c r="O89" s="20"/>
      <c r="P89" s="21"/>
      <c r="Q89" s="11">
        <f t="shared" si="51"/>
        <v>0</v>
      </c>
      <c r="T89" s="19"/>
      <c r="U89" s="20"/>
      <c r="V89" s="20"/>
      <c r="W89" s="21"/>
      <c r="X89" s="11">
        <f t="shared" si="47"/>
        <v>0</v>
      </c>
      <c r="AD89" s="19" t="s">
        <v>292</v>
      </c>
      <c r="AE89" s="20"/>
      <c r="AF89" s="20"/>
      <c r="AG89" s="21"/>
      <c r="AH89" s="11">
        <v>2.5</v>
      </c>
      <c r="AI89" s="1"/>
      <c r="AK89" s="22"/>
      <c r="AL89" s="23"/>
      <c r="AM89" s="23"/>
      <c r="AN89" s="24"/>
      <c r="AO89" s="25"/>
    </row>
    <row r="90" spans="1:41" ht="15" thickBot="1" x14ac:dyDescent="0.35">
      <c r="A90" s="19"/>
      <c r="B90" s="20"/>
      <c r="C90" s="20"/>
      <c r="D90" s="21"/>
      <c r="E90" s="11">
        <f t="shared" si="44"/>
        <v>0</v>
      </c>
      <c r="G90" s="19"/>
      <c r="H90" s="20"/>
      <c r="I90" s="20"/>
      <c r="J90" s="21"/>
      <c r="K90" s="11">
        <f t="shared" si="50"/>
        <v>0</v>
      </c>
      <c r="M90" s="19"/>
      <c r="N90" s="20"/>
      <c r="O90" s="20"/>
      <c r="P90" s="21"/>
      <c r="Q90" s="11">
        <f t="shared" si="51"/>
        <v>0</v>
      </c>
      <c r="T90" s="19"/>
      <c r="U90" s="20"/>
      <c r="V90" s="20"/>
      <c r="W90" s="21"/>
      <c r="X90" s="11">
        <f t="shared" si="47"/>
        <v>0</v>
      </c>
      <c r="AD90" s="19" t="s">
        <v>435</v>
      </c>
      <c r="AE90" s="20"/>
      <c r="AF90" s="20">
        <v>10</v>
      </c>
      <c r="AG90" s="21">
        <v>0.3</v>
      </c>
      <c r="AH90" s="11">
        <f t="shared" ref="AH90:AH93" si="52">+AG90*AF90</f>
        <v>3</v>
      </c>
      <c r="AI90" s="1"/>
      <c r="AK90" s="1"/>
      <c r="AL90" s="1"/>
      <c r="AM90" s="72" t="s">
        <v>26</v>
      </c>
      <c r="AN90" s="73"/>
      <c r="AO90" s="26">
        <f>SUM(AO79:AO89)</f>
        <v>5.7515000000000001</v>
      </c>
    </row>
    <row r="91" spans="1:41" ht="15" thickBot="1" x14ac:dyDescent="0.35">
      <c r="A91" s="19"/>
      <c r="B91" s="20"/>
      <c r="C91" s="20"/>
      <c r="D91" s="21"/>
      <c r="E91" s="11">
        <f t="shared" si="44"/>
        <v>0</v>
      </c>
      <c r="G91" s="19"/>
      <c r="H91" s="20"/>
      <c r="I91" s="20"/>
      <c r="J91" s="21"/>
      <c r="K91" s="11">
        <f t="shared" si="50"/>
        <v>0</v>
      </c>
      <c r="M91" s="19"/>
      <c r="N91" s="20"/>
      <c r="O91" s="20"/>
      <c r="P91" s="21"/>
      <c r="Q91" s="11">
        <f t="shared" si="51"/>
        <v>0</v>
      </c>
      <c r="T91" s="19"/>
      <c r="U91" s="20"/>
      <c r="V91" s="20"/>
      <c r="W91" s="21"/>
      <c r="X91" s="11">
        <f t="shared" si="47"/>
        <v>0</v>
      </c>
      <c r="AD91" s="19" t="s">
        <v>437</v>
      </c>
      <c r="AE91" s="20"/>
      <c r="AF91" s="20"/>
      <c r="AG91" s="21">
        <v>0.2</v>
      </c>
      <c r="AH91" s="11">
        <f t="shared" si="52"/>
        <v>0</v>
      </c>
      <c r="AI91" s="1"/>
      <c r="AK91" s="1"/>
      <c r="AL91" s="1"/>
      <c r="AM91" s="72" t="s">
        <v>27</v>
      </c>
      <c r="AN91" s="73"/>
      <c r="AO91" s="26">
        <f>+AO90*1.145</f>
        <v>6.5854675</v>
      </c>
    </row>
    <row r="92" spans="1:41" ht="15" thickBot="1" x14ac:dyDescent="0.35">
      <c r="A92" s="19" t="s">
        <v>415</v>
      </c>
      <c r="B92" s="20"/>
      <c r="C92" s="20"/>
      <c r="D92" s="21"/>
      <c r="E92" s="11">
        <f t="shared" si="44"/>
        <v>0</v>
      </c>
      <c r="G92" s="19"/>
      <c r="H92" s="20"/>
      <c r="I92" s="20"/>
      <c r="J92" s="21"/>
      <c r="K92" s="11">
        <f t="shared" si="50"/>
        <v>0</v>
      </c>
      <c r="M92" s="19"/>
      <c r="N92" s="20"/>
      <c r="O92" s="20"/>
      <c r="P92" s="21"/>
      <c r="Q92" s="11">
        <f t="shared" si="51"/>
        <v>0</v>
      </c>
      <c r="T92" s="19"/>
      <c r="U92" s="20"/>
      <c r="V92" s="20"/>
      <c r="W92" s="21"/>
      <c r="X92" s="11">
        <f t="shared" si="47"/>
        <v>0</v>
      </c>
      <c r="AD92" s="19" t="s">
        <v>438</v>
      </c>
      <c r="AE92" s="20"/>
      <c r="AF92" s="20">
        <v>30</v>
      </c>
      <c r="AG92" s="21">
        <v>0.02</v>
      </c>
      <c r="AH92" s="11">
        <f t="shared" si="52"/>
        <v>0.6</v>
      </c>
      <c r="AI92" s="1"/>
      <c r="AK92" s="1"/>
      <c r="AL92" s="1"/>
      <c r="AM92" s="72" t="s">
        <v>28</v>
      </c>
      <c r="AN92" s="73"/>
      <c r="AO92" s="26">
        <v>24</v>
      </c>
    </row>
    <row r="93" spans="1:41" ht="15" thickBot="1" x14ac:dyDescent="0.35">
      <c r="A93" s="19"/>
      <c r="B93" s="20"/>
      <c r="C93" s="20"/>
      <c r="D93" s="21"/>
      <c r="E93" s="11">
        <f t="shared" si="44"/>
        <v>0</v>
      </c>
      <c r="G93" s="19"/>
      <c r="H93" s="20"/>
      <c r="I93" s="20"/>
      <c r="J93" s="21"/>
      <c r="K93" s="11">
        <f t="shared" si="50"/>
        <v>0</v>
      </c>
      <c r="M93" s="19"/>
      <c r="N93" s="20"/>
      <c r="O93" s="20"/>
      <c r="P93" s="21"/>
      <c r="Q93" s="11">
        <f t="shared" si="51"/>
        <v>0</v>
      </c>
      <c r="T93" s="19"/>
      <c r="U93" s="20"/>
      <c r="V93" s="20"/>
      <c r="W93" s="21"/>
      <c r="X93" s="11">
        <f t="shared" si="47"/>
        <v>0</v>
      </c>
      <c r="AD93" s="19"/>
      <c r="AE93" s="20"/>
      <c r="AF93" s="20"/>
      <c r="AG93" s="21"/>
      <c r="AH93" s="11">
        <f t="shared" si="52"/>
        <v>0</v>
      </c>
      <c r="AI93" s="1"/>
      <c r="AK93" s="1"/>
      <c r="AL93" s="1"/>
      <c r="AM93" s="72" t="s">
        <v>29</v>
      </c>
      <c r="AN93" s="74"/>
      <c r="AO93" s="27">
        <f>AO91/AO92*100</f>
        <v>27.439447916666666</v>
      </c>
    </row>
    <row r="94" spans="1:41" ht="15" thickBot="1" x14ac:dyDescent="0.35">
      <c r="A94" s="22"/>
      <c r="B94" s="23"/>
      <c r="C94" s="23"/>
      <c r="D94" s="24"/>
      <c r="E94" s="25"/>
      <c r="G94" s="22"/>
      <c r="H94" s="23"/>
      <c r="I94" s="23"/>
      <c r="J94" s="24"/>
      <c r="K94" s="25"/>
      <c r="M94" s="22"/>
      <c r="N94" s="23"/>
      <c r="O94" s="23"/>
      <c r="P94" s="24"/>
      <c r="Q94" s="25"/>
      <c r="T94" s="22"/>
      <c r="U94" s="23"/>
      <c r="V94" s="23"/>
      <c r="W94" s="24"/>
      <c r="X94" s="25"/>
      <c r="AD94" s="22"/>
      <c r="AE94" s="23"/>
      <c r="AF94" s="23"/>
      <c r="AG94" s="24"/>
      <c r="AH94" s="25"/>
      <c r="AI94" s="1"/>
      <c r="AK94" s="1"/>
      <c r="AL94" s="1"/>
      <c r="AM94" s="1"/>
      <c r="AN94" s="28" t="s">
        <v>30</v>
      </c>
      <c r="AO94" s="16">
        <f>100-AO93</f>
        <v>72.560552083333334</v>
      </c>
    </row>
    <row r="95" spans="1:41" ht="15" thickBot="1" x14ac:dyDescent="0.35">
      <c r="A95" s="1"/>
      <c r="B95" s="1"/>
      <c r="C95" s="72" t="s">
        <v>26</v>
      </c>
      <c r="D95" s="73"/>
      <c r="E95" s="26">
        <f>SUM(E79:E94)</f>
        <v>10.007999999999999</v>
      </c>
      <c r="G95" s="1"/>
      <c r="H95" s="1"/>
      <c r="I95" s="72" t="s">
        <v>26</v>
      </c>
      <c r="J95" s="73"/>
      <c r="K95" s="26">
        <f>SUM(K79:K94)</f>
        <v>2.3440000000000003</v>
      </c>
      <c r="M95" s="1"/>
      <c r="N95" s="1"/>
      <c r="O95" s="72" t="s">
        <v>26</v>
      </c>
      <c r="P95" s="73"/>
      <c r="Q95" s="26">
        <f>SUM(Q79:Q94)</f>
        <v>3.9699999999999998</v>
      </c>
      <c r="T95" s="1"/>
      <c r="U95" s="1"/>
      <c r="V95" s="72" t="s">
        <v>26</v>
      </c>
      <c r="W95" s="73"/>
      <c r="X95" s="26">
        <f>SUM(X79:X94)</f>
        <v>4.0766</v>
      </c>
      <c r="AD95" s="1"/>
      <c r="AE95" s="1"/>
      <c r="AF95" s="72" t="s">
        <v>26</v>
      </c>
      <c r="AG95" s="73"/>
      <c r="AH95" s="26">
        <f>SUM(AH79:AH94)</f>
        <v>13.587</v>
      </c>
      <c r="AI95" s="26">
        <f>AH95/12</f>
        <v>1.13225</v>
      </c>
    </row>
    <row r="96" spans="1:41" ht="15" thickBot="1" x14ac:dyDescent="0.35">
      <c r="A96" s="1"/>
      <c r="B96" s="1"/>
      <c r="C96" s="72" t="s">
        <v>27</v>
      </c>
      <c r="D96" s="73"/>
      <c r="E96" s="26">
        <f>+E95*1.145</f>
        <v>11.459159999999999</v>
      </c>
      <c r="G96" s="1"/>
      <c r="H96" s="1"/>
      <c r="I96" s="72" t="s">
        <v>27</v>
      </c>
      <c r="J96" s="73"/>
      <c r="K96" s="26">
        <f>+K95*1.145</f>
        <v>2.6838800000000003</v>
      </c>
      <c r="M96" s="1"/>
      <c r="N96" s="1"/>
      <c r="O96" s="72" t="s">
        <v>27</v>
      </c>
      <c r="P96" s="73"/>
      <c r="Q96" s="26">
        <f>+Q95*1.145</f>
        <v>4.5456500000000002</v>
      </c>
      <c r="T96" s="1"/>
      <c r="U96" s="1"/>
      <c r="V96" s="72" t="s">
        <v>27</v>
      </c>
      <c r="W96" s="73"/>
      <c r="X96" s="26">
        <f>+X95*1.145</f>
        <v>4.6677070000000001</v>
      </c>
      <c r="AD96" s="1"/>
      <c r="AE96" s="1"/>
      <c r="AF96" s="72" t="s">
        <v>27</v>
      </c>
      <c r="AG96" s="73"/>
      <c r="AH96" s="26">
        <f>+AH95*1.145</f>
        <v>15.557115</v>
      </c>
      <c r="AI96" s="26">
        <f>+AI95*1.145</f>
        <v>1.2964262499999999</v>
      </c>
    </row>
    <row r="97" spans="1:35" ht="15" thickBot="1" x14ac:dyDescent="0.35">
      <c r="A97" s="1"/>
      <c r="B97" s="1"/>
      <c r="C97" s="72" t="s">
        <v>28</v>
      </c>
      <c r="D97" s="73"/>
      <c r="E97" s="26">
        <v>72</v>
      </c>
      <c r="G97" s="1"/>
      <c r="H97" s="1"/>
      <c r="I97" s="72" t="s">
        <v>28</v>
      </c>
      <c r="J97" s="73"/>
      <c r="K97" s="26">
        <v>10</v>
      </c>
      <c r="M97" s="1"/>
      <c r="N97" s="1"/>
      <c r="O97" s="72">
        <v>18</v>
      </c>
      <c r="P97" s="73"/>
      <c r="Q97" s="26">
        <v>16</v>
      </c>
      <c r="T97" s="1"/>
      <c r="U97" s="1"/>
      <c r="V97" s="72" t="s">
        <v>28</v>
      </c>
      <c r="W97" s="73"/>
      <c r="X97" s="26">
        <v>12</v>
      </c>
      <c r="AD97" s="1"/>
      <c r="AE97" s="1"/>
      <c r="AF97" s="72" t="s">
        <v>28</v>
      </c>
      <c r="AG97" s="73"/>
      <c r="AH97" s="26">
        <v>55</v>
      </c>
      <c r="AI97" s="26">
        <v>4</v>
      </c>
    </row>
    <row r="98" spans="1:35" ht="15" thickBot="1" x14ac:dyDescent="0.35">
      <c r="A98" s="1"/>
      <c r="B98" s="1"/>
      <c r="C98" s="72" t="s">
        <v>29</v>
      </c>
      <c r="D98" s="74"/>
      <c r="E98" s="27">
        <f>E96/E97*100</f>
        <v>15.9155</v>
      </c>
      <c r="G98" s="1"/>
      <c r="H98" s="1"/>
      <c r="I98" s="72" t="s">
        <v>29</v>
      </c>
      <c r="J98" s="74"/>
      <c r="K98" s="27">
        <f>K96/K97*100</f>
        <v>26.838800000000003</v>
      </c>
      <c r="M98" s="1"/>
      <c r="N98" s="1"/>
      <c r="O98" s="72" t="s">
        <v>29</v>
      </c>
      <c r="P98" s="74"/>
      <c r="Q98" s="27">
        <f>Q96/Q97*100</f>
        <v>28.4103125</v>
      </c>
      <c r="T98" s="1"/>
      <c r="U98" s="1"/>
      <c r="V98" s="72" t="s">
        <v>29</v>
      </c>
      <c r="W98" s="74"/>
      <c r="X98" s="27">
        <f>X96/X97*100</f>
        <v>38.897558333333329</v>
      </c>
      <c r="AD98" s="1"/>
      <c r="AE98" s="1"/>
      <c r="AF98" s="72" t="s">
        <v>29</v>
      </c>
      <c r="AG98" s="74"/>
      <c r="AH98" s="27">
        <f>AH96/AH97*100</f>
        <v>28.285663636363633</v>
      </c>
      <c r="AI98" s="27">
        <f>AI96/AI97*100</f>
        <v>32.410656249999995</v>
      </c>
    </row>
    <row r="99" spans="1:35" x14ac:dyDescent="0.3">
      <c r="A99" s="1"/>
      <c r="B99" s="1"/>
      <c r="C99" s="1"/>
      <c r="D99" s="28" t="s">
        <v>30</v>
      </c>
      <c r="E99" s="16">
        <f>100-E98</f>
        <v>84.084500000000006</v>
      </c>
      <c r="G99" s="1"/>
      <c r="H99" s="1"/>
      <c r="I99" s="1"/>
      <c r="J99" s="28" t="s">
        <v>30</v>
      </c>
      <c r="K99" s="16">
        <f>100-K98</f>
        <v>73.161199999999994</v>
      </c>
      <c r="M99" s="1"/>
      <c r="N99" s="1"/>
      <c r="O99" s="1"/>
      <c r="P99" s="28" t="s">
        <v>30</v>
      </c>
      <c r="Q99" s="16">
        <f>100-Q98</f>
        <v>71.589687499999997</v>
      </c>
      <c r="T99" s="1"/>
      <c r="U99" s="1"/>
      <c r="V99" s="1"/>
      <c r="W99" s="28" t="s">
        <v>30</v>
      </c>
      <c r="X99" s="16">
        <f>100-X98</f>
        <v>61.102441666666671</v>
      </c>
      <c r="AD99" s="1"/>
      <c r="AE99" s="1"/>
      <c r="AF99" s="1"/>
      <c r="AG99" s="28" t="s">
        <v>30</v>
      </c>
      <c r="AH99" s="16">
        <f>100-AH98</f>
        <v>71.714336363636363</v>
      </c>
      <c r="AI99" s="16">
        <f>100-AI98</f>
        <v>67.589343750000012</v>
      </c>
    </row>
    <row r="101" spans="1:35" ht="15" thickBot="1" x14ac:dyDescent="0.35"/>
    <row r="102" spans="1:35" ht="15" thickBot="1" x14ac:dyDescent="0.35">
      <c r="G102" s="69" t="s">
        <v>31</v>
      </c>
      <c r="H102" s="70"/>
      <c r="I102" s="70"/>
      <c r="J102" s="70"/>
      <c r="K102" s="71"/>
      <c r="M102" s="69" t="s">
        <v>31</v>
      </c>
      <c r="N102" s="70"/>
      <c r="O102" s="70"/>
      <c r="P102" s="70"/>
      <c r="Q102" s="71"/>
      <c r="S102" s="69" t="s">
        <v>473</v>
      </c>
      <c r="T102" s="70"/>
      <c r="U102" s="70"/>
      <c r="V102" s="70"/>
      <c r="W102" s="71"/>
      <c r="Y102" s="69" t="s">
        <v>474</v>
      </c>
      <c r="Z102" s="70"/>
      <c r="AA102" s="70"/>
      <c r="AB102" s="70"/>
      <c r="AC102" s="71"/>
    </row>
    <row r="103" spans="1:35" ht="15" thickBot="1" x14ac:dyDescent="0.35">
      <c r="G103" s="2" t="s">
        <v>3</v>
      </c>
      <c r="H103" s="3" t="s">
        <v>4</v>
      </c>
      <c r="I103" s="3" t="s">
        <v>5</v>
      </c>
      <c r="J103" s="4" t="s">
        <v>6</v>
      </c>
      <c r="K103" s="5" t="s">
        <v>7</v>
      </c>
      <c r="M103" s="2" t="s">
        <v>3</v>
      </c>
      <c r="N103" s="3" t="s">
        <v>4</v>
      </c>
      <c r="O103" s="3" t="s">
        <v>5</v>
      </c>
      <c r="P103" s="4" t="s">
        <v>6</v>
      </c>
      <c r="Q103" s="5" t="s">
        <v>7</v>
      </c>
      <c r="S103" s="2" t="s">
        <v>3</v>
      </c>
      <c r="T103" s="3" t="s">
        <v>4</v>
      </c>
      <c r="U103" s="3" t="s">
        <v>5</v>
      </c>
      <c r="V103" s="4" t="s">
        <v>6</v>
      </c>
      <c r="W103" s="5" t="s">
        <v>7</v>
      </c>
      <c r="Y103" s="2" t="s">
        <v>3</v>
      </c>
      <c r="Z103" s="3" t="s">
        <v>4</v>
      </c>
      <c r="AA103" s="3" t="s">
        <v>5</v>
      </c>
      <c r="AB103" s="4" t="s">
        <v>6</v>
      </c>
      <c r="AC103" s="5" t="s">
        <v>7</v>
      </c>
    </row>
    <row r="104" spans="1:35" x14ac:dyDescent="0.3">
      <c r="G104" s="7" t="s">
        <v>470</v>
      </c>
      <c r="H104" s="8"/>
      <c r="I104" s="9">
        <v>2.64</v>
      </c>
      <c r="J104" s="10">
        <v>0.6</v>
      </c>
      <c r="K104" s="11">
        <f t="shared" ref="K104:K105" si="53">+J104*I104</f>
        <v>1.5840000000000001</v>
      </c>
      <c r="M104" s="7" t="s">
        <v>472</v>
      </c>
      <c r="N104" s="8"/>
      <c r="O104" s="9">
        <v>2.64</v>
      </c>
      <c r="P104" s="10">
        <v>0.6</v>
      </c>
      <c r="Q104" s="11">
        <f t="shared" ref="Q104:Q105" si="54">+P104*O104</f>
        <v>1.5840000000000001</v>
      </c>
      <c r="S104" s="7" t="s">
        <v>22</v>
      </c>
      <c r="T104" s="8" t="s">
        <v>34</v>
      </c>
      <c r="U104" s="9">
        <v>10</v>
      </c>
      <c r="V104" s="10">
        <v>1</v>
      </c>
      <c r="W104" s="11">
        <f t="shared" ref="W104:W106" si="55">+V104*U104</f>
        <v>10</v>
      </c>
      <c r="Y104" s="7" t="s">
        <v>475</v>
      </c>
      <c r="Z104" s="8" t="s">
        <v>476</v>
      </c>
      <c r="AA104" s="9">
        <v>1.62</v>
      </c>
      <c r="AB104" s="10">
        <v>1</v>
      </c>
      <c r="AC104" s="11">
        <f t="shared" ref="AC104:AC106" si="56">+AB104*AA104</f>
        <v>1.62</v>
      </c>
    </row>
    <row r="105" spans="1:35" x14ac:dyDescent="0.3">
      <c r="G105" s="15" t="s">
        <v>471</v>
      </c>
      <c r="H105" s="16"/>
      <c r="I105" s="17">
        <v>0.9</v>
      </c>
      <c r="J105" s="18">
        <v>1</v>
      </c>
      <c r="K105" s="11">
        <f t="shared" si="53"/>
        <v>0.9</v>
      </c>
      <c r="M105" s="15"/>
      <c r="N105" s="16"/>
      <c r="O105" s="17">
        <v>0.9</v>
      </c>
      <c r="P105" s="18">
        <v>1</v>
      </c>
      <c r="Q105" s="11">
        <f t="shared" si="54"/>
        <v>0.9</v>
      </c>
      <c r="S105" s="15" t="s">
        <v>10</v>
      </c>
      <c r="T105" s="16"/>
      <c r="U105" s="17">
        <v>0.76</v>
      </c>
      <c r="V105" s="18">
        <v>0.76</v>
      </c>
      <c r="W105" s="11">
        <f t="shared" si="55"/>
        <v>0.5776</v>
      </c>
      <c r="Y105" s="15" t="s">
        <v>477</v>
      </c>
      <c r="Z105" s="16"/>
      <c r="AA105" s="17">
        <v>2.484</v>
      </c>
      <c r="AB105" s="18">
        <v>0.27</v>
      </c>
      <c r="AC105" s="11">
        <f t="shared" si="56"/>
        <v>0.67068000000000005</v>
      </c>
    </row>
    <row r="106" spans="1:35" x14ac:dyDescent="0.3">
      <c r="G106" s="7"/>
      <c r="H106" s="8"/>
      <c r="I106" s="9"/>
      <c r="J106" s="10"/>
      <c r="K106" s="11"/>
      <c r="M106" s="7"/>
      <c r="N106" s="8"/>
      <c r="O106" s="9"/>
      <c r="P106" s="10"/>
      <c r="Q106" s="11"/>
      <c r="S106" s="15" t="s">
        <v>24</v>
      </c>
      <c r="T106" s="16"/>
      <c r="U106" s="17">
        <v>0.2</v>
      </c>
      <c r="V106" s="18">
        <v>2.5000000000000001E-2</v>
      </c>
      <c r="W106" s="11">
        <f t="shared" si="55"/>
        <v>5.000000000000001E-3</v>
      </c>
      <c r="Y106" s="15"/>
      <c r="Z106" s="16"/>
      <c r="AA106" s="17">
        <v>0.35</v>
      </c>
      <c r="AB106" s="18">
        <v>1</v>
      </c>
      <c r="AC106" s="11">
        <f t="shared" si="56"/>
        <v>0.35</v>
      </c>
    </row>
    <row r="107" spans="1:35" x14ac:dyDescent="0.3">
      <c r="G107" s="15"/>
      <c r="H107" s="16"/>
      <c r="I107" s="17"/>
      <c r="J107" s="18"/>
      <c r="K107" s="11"/>
      <c r="M107" s="15"/>
      <c r="N107" s="16"/>
      <c r="O107" s="17"/>
      <c r="P107" s="18"/>
      <c r="Q107" s="11"/>
      <c r="S107" s="15"/>
      <c r="T107" s="16"/>
      <c r="U107" s="17"/>
      <c r="V107" s="18"/>
      <c r="W107" s="11"/>
      <c r="Y107" s="15"/>
      <c r="Z107" s="16"/>
      <c r="AA107" s="17"/>
      <c r="AB107" s="18"/>
      <c r="AC107" s="11"/>
    </row>
    <row r="108" spans="1:35" x14ac:dyDescent="0.3">
      <c r="G108" s="15"/>
      <c r="H108" s="16"/>
      <c r="I108" s="17"/>
      <c r="J108" s="18"/>
      <c r="K108" s="11"/>
      <c r="M108" s="15"/>
      <c r="N108" s="16"/>
      <c r="O108" s="17"/>
      <c r="P108" s="18"/>
      <c r="Q108" s="11"/>
      <c r="S108" s="15"/>
      <c r="T108" s="16"/>
      <c r="U108" s="17"/>
      <c r="V108" s="18"/>
      <c r="W108" s="11"/>
      <c r="Y108" s="15"/>
      <c r="Z108" s="16"/>
      <c r="AA108" s="17"/>
      <c r="AB108" s="18"/>
      <c r="AC108" s="11"/>
    </row>
    <row r="109" spans="1:35" x14ac:dyDescent="0.3">
      <c r="G109" s="15"/>
      <c r="H109" s="16"/>
      <c r="I109" s="17"/>
      <c r="J109" s="18"/>
      <c r="K109" s="11">
        <f t="shared" ref="K109:K118" si="57">+J109*I109</f>
        <v>0</v>
      </c>
      <c r="M109" s="15"/>
      <c r="N109" s="16"/>
      <c r="O109" s="17"/>
      <c r="P109" s="18"/>
      <c r="Q109" s="11">
        <f t="shared" ref="Q109:Q118" si="58">+P109*O109</f>
        <v>0</v>
      </c>
      <c r="S109" s="15"/>
      <c r="T109" s="16"/>
      <c r="U109" s="17"/>
      <c r="V109" s="18"/>
      <c r="W109" s="11">
        <f t="shared" ref="W109:W118" si="59">+V109*U109</f>
        <v>0</v>
      </c>
      <c r="Y109" s="15"/>
      <c r="Z109" s="16"/>
      <c r="AA109" s="17"/>
      <c r="AB109" s="18"/>
      <c r="AC109" s="11">
        <f t="shared" ref="AC109:AC118" si="60">+AB109*AA109</f>
        <v>0</v>
      </c>
    </row>
    <row r="110" spans="1:35" x14ac:dyDescent="0.3">
      <c r="G110" s="15"/>
      <c r="H110" s="16"/>
      <c r="I110" s="17"/>
      <c r="J110" s="18"/>
      <c r="K110" s="11">
        <f t="shared" si="57"/>
        <v>0</v>
      </c>
      <c r="M110" s="15"/>
      <c r="N110" s="16"/>
      <c r="O110" s="17"/>
      <c r="P110" s="18"/>
      <c r="Q110" s="11">
        <f t="shared" si="58"/>
        <v>0</v>
      </c>
      <c r="S110" s="15"/>
      <c r="T110" s="16"/>
      <c r="U110" s="17"/>
      <c r="V110" s="18"/>
      <c r="W110" s="11">
        <f t="shared" si="59"/>
        <v>0</v>
      </c>
      <c r="Y110" s="15"/>
      <c r="Z110" s="16"/>
      <c r="AA110" s="17"/>
      <c r="AB110" s="18"/>
      <c r="AC110" s="11">
        <f t="shared" si="60"/>
        <v>0</v>
      </c>
    </row>
    <row r="111" spans="1:35" x14ac:dyDescent="0.3">
      <c r="G111" s="15"/>
      <c r="H111" s="16"/>
      <c r="I111" s="17"/>
      <c r="J111" s="18"/>
      <c r="K111" s="11">
        <f t="shared" si="57"/>
        <v>0</v>
      </c>
      <c r="M111" s="15"/>
      <c r="N111" s="16"/>
      <c r="O111" s="17"/>
      <c r="P111" s="18"/>
      <c r="Q111" s="11">
        <f t="shared" si="58"/>
        <v>0</v>
      </c>
      <c r="S111" s="15"/>
      <c r="T111" s="16"/>
      <c r="U111" s="17"/>
      <c r="V111" s="18"/>
      <c r="W111" s="11">
        <f t="shared" si="59"/>
        <v>0</v>
      </c>
      <c r="Y111" s="15"/>
      <c r="Z111" s="16"/>
      <c r="AA111" s="17"/>
      <c r="AB111" s="18"/>
      <c r="AC111" s="11">
        <f t="shared" si="60"/>
        <v>0</v>
      </c>
    </row>
    <row r="112" spans="1:35" x14ac:dyDescent="0.3">
      <c r="G112" s="19"/>
      <c r="H112" s="20"/>
      <c r="I112" s="20"/>
      <c r="J112" s="21"/>
      <c r="K112" s="11">
        <f t="shared" si="57"/>
        <v>0</v>
      </c>
      <c r="M112" s="19"/>
      <c r="N112" s="20"/>
      <c r="O112" s="20"/>
      <c r="P112" s="21"/>
      <c r="Q112" s="11">
        <f t="shared" si="58"/>
        <v>0</v>
      </c>
      <c r="S112" s="19"/>
      <c r="T112" s="20"/>
      <c r="U112" s="20"/>
      <c r="V112" s="21"/>
      <c r="W112" s="11">
        <f t="shared" si="59"/>
        <v>0</v>
      </c>
      <c r="Y112" s="19"/>
      <c r="Z112" s="20"/>
      <c r="AA112" s="20"/>
      <c r="AB112" s="21"/>
      <c r="AC112" s="11">
        <f t="shared" si="60"/>
        <v>0</v>
      </c>
    </row>
    <row r="113" spans="7:29" x14ac:dyDescent="0.3">
      <c r="G113" s="19"/>
      <c r="H113" s="20"/>
      <c r="I113" s="20"/>
      <c r="J113" s="21"/>
      <c r="K113" s="11">
        <f t="shared" si="57"/>
        <v>0</v>
      </c>
      <c r="M113" s="19"/>
      <c r="N113" s="20"/>
      <c r="O113" s="20"/>
      <c r="P113" s="21"/>
      <c r="Q113" s="11">
        <f t="shared" si="58"/>
        <v>0</v>
      </c>
      <c r="S113" s="19"/>
      <c r="T113" s="20"/>
      <c r="U113" s="20"/>
      <c r="V113" s="21"/>
      <c r="W113" s="11">
        <f t="shared" si="59"/>
        <v>0</v>
      </c>
      <c r="Y113" s="19"/>
      <c r="Z113" s="20"/>
      <c r="AA113" s="20"/>
      <c r="AB113" s="21"/>
      <c r="AC113" s="11">
        <f t="shared" si="60"/>
        <v>0</v>
      </c>
    </row>
    <row r="114" spans="7:29" x14ac:dyDescent="0.3">
      <c r="G114" s="19"/>
      <c r="H114" s="20"/>
      <c r="I114" s="20"/>
      <c r="J114" s="21"/>
      <c r="K114" s="11">
        <f t="shared" si="57"/>
        <v>0</v>
      </c>
      <c r="M114" s="19"/>
      <c r="N114" s="20"/>
      <c r="O114" s="20"/>
      <c r="P114" s="21"/>
      <c r="Q114" s="11">
        <f t="shared" si="58"/>
        <v>0</v>
      </c>
      <c r="S114" s="19"/>
      <c r="T114" s="20"/>
      <c r="U114" s="20"/>
      <c r="V114" s="21"/>
      <c r="W114" s="11">
        <f t="shared" si="59"/>
        <v>0</v>
      </c>
      <c r="Y114" s="19"/>
      <c r="Z114" s="20"/>
      <c r="AA114" s="20"/>
      <c r="AB114" s="21"/>
      <c r="AC114" s="11">
        <f t="shared" si="60"/>
        <v>0</v>
      </c>
    </row>
    <row r="115" spans="7:29" x14ac:dyDescent="0.3">
      <c r="G115" s="19"/>
      <c r="H115" s="20"/>
      <c r="I115" s="20"/>
      <c r="J115" s="21"/>
      <c r="K115" s="11">
        <f t="shared" si="57"/>
        <v>0</v>
      </c>
      <c r="M115" s="19"/>
      <c r="N115" s="20"/>
      <c r="O115" s="20"/>
      <c r="P115" s="21"/>
      <c r="Q115" s="11">
        <f t="shared" si="58"/>
        <v>0</v>
      </c>
      <c r="S115" s="19"/>
      <c r="T115" s="20"/>
      <c r="U115" s="20"/>
      <c r="V115" s="21"/>
      <c r="W115" s="11">
        <f t="shared" si="59"/>
        <v>0</v>
      </c>
      <c r="Y115" s="19"/>
      <c r="Z115" s="20"/>
      <c r="AA115" s="20"/>
      <c r="AB115" s="21"/>
      <c r="AC115" s="11">
        <f t="shared" si="60"/>
        <v>0</v>
      </c>
    </row>
    <row r="116" spans="7:29" x14ac:dyDescent="0.3">
      <c r="G116" s="19"/>
      <c r="H116" s="20"/>
      <c r="I116" s="20"/>
      <c r="J116" s="21"/>
      <c r="K116" s="11">
        <f t="shared" si="57"/>
        <v>0</v>
      </c>
      <c r="M116" s="19"/>
      <c r="N116" s="20"/>
      <c r="O116" s="20"/>
      <c r="P116" s="21"/>
      <c r="Q116" s="11">
        <f t="shared" si="58"/>
        <v>0</v>
      </c>
      <c r="S116" s="19"/>
      <c r="T116" s="20"/>
      <c r="U116" s="20"/>
      <c r="V116" s="21"/>
      <c r="W116" s="11">
        <f t="shared" si="59"/>
        <v>0</v>
      </c>
      <c r="Y116" s="19"/>
      <c r="Z116" s="20"/>
      <c r="AA116" s="20"/>
      <c r="AB116" s="21"/>
      <c r="AC116" s="11">
        <f t="shared" si="60"/>
        <v>0</v>
      </c>
    </row>
    <row r="117" spans="7:29" x14ac:dyDescent="0.3">
      <c r="G117" s="19"/>
      <c r="H117" s="20"/>
      <c r="I117" s="20"/>
      <c r="J117" s="21"/>
      <c r="K117" s="11">
        <f t="shared" si="57"/>
        <v>0</v>
      </c>
      <c r="M117" s="19"/>
      <c r="N117" s="20"/>
      <c r="O117" s="20"/>
      <c r="P117" s="21"/>
      <c r="Q117" s="11">
        <f t="shared" si="58"/>
        <v>0</v>
      </c>
      <c r="S117" s="19"/>
      <c r="T117" s="20"/>
      <c r="U117" s="20"/>
      <c r="V117" s="21"/>
      <c r="W117" s="11">
        <f t="shared" si="59"/>
        <v>0</v>
      </c>
      <c r="Y117" s="19"/>
      <c r="Z117" s="20"/>
      <c r="AA117" s="20"/>
      <c r="AB117" s="21"/>
      <c r="AC117" s="11">
        <f t="shared" si="60"/>
        <v>0</v>
      </c>
    </row>
    <row r="118" spans="7:29" x14ac:dyDescent="0.3">
      <c r="G118" s="19"/>
      <c r="H118" s="20"/>
      <c r="I118" s="20"/>
      <c r="J118" s="21"/>
      <c r="K118" s="11">
        <f t="shared" si="57"/>
        <v>0</v>
      </c>
      <c r="M118" s="19"/>
      <c r="N118" s="20"/>
      <c r="O118" s="20"/>
      <c r="P118" s="21"/>
      <c r="Q118" s="11">
        <f t="shared" si="58"/>
        <v>0</v>
      </c>
      <c r="S118" s="19"/>
      <c r="T118" s="20"/>
      <c r="U118" s="20"/>
      <c r="V118" s="21"/>
      <c r="W118" s="11">
        <f t="shared" si="59"/>
        <v>0</v>
      </c>
      <c r="Y118" s="19"/>
      <c r="Z118" s="20"/>
      <c r="AA118" s="20"/>
      <c r="AB118" s="21"/>
      <c r="AC118" s="11">
        <f t="shared" si="60"/>
        <v>0</v>
      </c>
    </row>
    <row r="119" spans="7:29" ht="15" thickBot="1" x14ac:dyDescent="0.35">
      <c r="G119" s="22"/>
      <c r="H119" s="23"/>
      <c r="I119" s="23"/>
      <c r="J119" s="24"/>
      <c r="K119" s="25"/>
      <c r="M119" s="22"/>
      <c r="N119" s="23"/>
      <c r="O119" s="23"/>
      <c r="P119" s="24"/>
      <c r="Q119" s="25"/>
      <c r="S119" s="22"/>
      <c r="T119" s="23"/>
      <c r="U119" s="23"/>
      <c r="V119" s="24"/>
      <c r="W119" s="25"/>
      <c r="Y119" s="22"/>
      <c r="Z119" s="23"/>
      <c r="AA119" s="23"/>
      <c r="AB119" s="24"/>
      <c r="AC119" s="25"/>
    </row>
    <row r="120" spans="7:29" ht="15" thickBot="1" x14ac:dyDescent="0.35">
      <c r="G120" s="1"/>
      <c r="H120" s="1"/>
      <c r="I120" s="72" t="s">
        <v>26</v>
      </c>
      <c r="J120" s="73"/>
      <c r="K120" s="26">
        <f>SUM(K104:K119)</f>
        <v>2.484</v>
      </c>
      <c r="M120" s="1"/>
      <c r="N120" s="1"/>
      <c r="O120" s="72" t="s">
        <v>26</v>
      </c>
      <c r="P120" s="73"/>
      <c r="Q120" s="26">
        <f>SUM(Q104:Q119)</f>
        <v>2.484</v>
      </c>
      <c r="S120" s="1"/>
      <c r="T120" s="1"/>
      <c r="U120" s="72" t="s">
        <v>26</v>
      </c>
      <c r="V120" s="73"/>
      <c r="W120" s="26">
        <f>SUM(W104:W119)</f>
        <v>10.582600000000001</v>
      </c>
      <c r="Y120" s="1"/>
      <c r="Z120" s="1"/>
      <c r="AA120" s="72" t="s">
        <v>26</v>
      </c>
      <c r="AB120" s="73"/>
      <c r="AC120" s="26">
        <f>SUM(AC104:AC119)</f>
        <v>2.6406800000000001</v>
      </c>
    </row>
    <row r="121" spans="7:29" ht="15" thickBot="1" x14ac:dyDescent="0.35">
      <c r="G121" s="1"/>
      <c r="H121" s="1"/>
      <c r="I121" s="72" t="s">
        <v>27</v>
      </c>
      <c r="J121" s="73"/>
      <c r="K121" s="26">
        <f>+K120*1.145</f>
        <v>2.8441800000000002</v>
      </c>
      <c r="M121" s="1"/>
      <c r="N121" s="1"/>
      <c r="O121" s="72" t="s">
        <v>27</v>
      </c>
      <c r="P121" s="73"/>
      <c r="Q121" s="26">
        <f>+Q120*1.145</f>
        <v>2.8441800000000002</v>
      </c>
      <c r="S121" s="1"/>
      <c r="T121" s="1"/>
      <c r="U121" s="72" t="s">
        <v>27</v>
      </c>
      <c r="V121" s="73"/>
      <c r="W121" s="26">
        <f>+W120*1.145</f>
        <v>12.117077000000002</v>
      </c>
      <c r="Y121" s="1"/>
      <c r="Z121" s="1"/>
      <c r="AA121" s="72" t="s">
        <v>27</v>
      </c>
      <c r="AB121" s="73"/>
      <c r="AC121" s="26">
        <f>+AC120*1.145</f>
        <v>3.0235786</v>
      </c>
    </row>
    <row r="122" spans="7:29" ht="15" thickBot="1" x14ac:dyDescent="0.35">
      <c r="G122" s="1"/>
      <c r="H122" s="1"/>
      <c r="I122" s="72" t="s">
        <v>28</v>
      </c>
      <c r="J122" s="73"/>
      <c r="K122" s="26">
        <v>45</v>
      </c>
      <c r="M122" s="1"/>
      <c r="N122" s="1"/>
      <c r="O122" s="72" t="s">
        <v>28</v>
      </c>
      <c r="P122" s="73"/>
      <c r="Q122" s="26">
        <v>45</v>
      </c>
      <c r="S122" s="1"/>
      <c r="T122" s="1"/>
      <c r="U122" s="72" t="s">
        <v>28</v>
      </c>
      <c r="V122" s="73"/>
      <c r="W122" s="26">
        <v>45</v>
      </c>
      <c r="Y122" s="1"/>
      <c r="Z122" s="1"/>
      <c r="AA122" s="72" t="s">
        <v>28</v>
      </c>
      <c r="AB122" s="73"/>
      <c r="AC122" s="26">
        <v>20</v>
      </c>
    </row>
    <row r="123" spans="7:29" ht="15" thickBot="1" x14ac:dyDescent="0.35">
      <c r="G123" s="1"/>
      <c r="H123" s="1"/>
      <c r="I123" s="72" t="s">
        <v>29</v>
      </c>
      <c r="J123" s="74"/>
      <c r="K123" s="27">
        <f>K121/K122*100</f>
        <v>6.3204000000000011</v>
      </c>
      <c r="M123" s="1"/>
      <c r="N123" s="1"/>
      <c r="O123" s="72" t="s">
        <v>29</v>
      </c>
      <c r="P123" s="74"/>
      <c r="Q123" s="27">
        <f>Q121/Q122*100</f>
        <v>6.3204000000000011</v>
      </c>
      <c r="S123" s="1"/>
      <c r="T123" s="1"/>
      <c r="U123" s="72" t="s">
        <v>29</v>
      </c>
      <c r="V123" s="74"/>
      <c r="W123" s="27">
        <f>W121/W122*100</f>
        <v>26.926837777777784</v>
      </c>
      <c r="Y123" s="1"/>
      <c r="Z123" s="1"/>
      <c r="AA123" s="72" t="s">
        <v>29</v>
      </c>
      <c r="AB123" s="74"/>
      <c r="AC123" s="27">
        <f>AC121/AC122*100</f>
        <v>15.117892999999999</v>
      </c>
    </row>
    <row r="124" spans="7:29" x14ac:dyDescent="0.3">
      <c r="G124" s="1"/>
      <c r="H124" s="1"/>
      <c r="I124" s="1"/>
      <c r="J124" s="28" t="s">
        <v>30</v>
      </c>
      <c r="K124" s="16">
        <f>100-K123</f>
        <v>93.679599999999994</v>
      </c>
      <c r="M124" s="1"/>
      <c r="N124" s="1"/>
      <c r="O124" s="1"/>
      <c r="P124" s="28" t="s">
        <v>30</v>
      </c>
      <c r="Q124" s="16">
        <f>100-Q123</f>
        <v>93.679599999999994</v>
      </c>
      <c r="S124" s="1"/>
      <c r="T124" s="1"/>
      <c r="U124" s="1"/>
      <c r="V124" s="28" t="s">
        <v>30</v>
      </c>
      <c r="W124" s="16">
        <f>100-W123</f>
        <v>73.073162222222209</v>
      </c>
      <c r="Y124" s="1"/>
      <c r="Z124" s="1"/>
      <c r="AA124" s="1"/>
      <c r="AB124" s="28" t="s">
        <v>30</v>
      </c>
      <c r="AC124" s="16">
        <f>100-AC123</f>
        <v>84.882107000000005</v>
      </c>
    </row>
  </sheetData>
  <mergeCells count="235">
    <mergeCell ref="BJ47:BN47"/>
    <mergeCell ref="BL60:BM60"/>
    <mergeCell ref="BL61:BM61"/>
    <mergeCell ref="BL62:BM62"/>
    <mergeCell ref="BL63:BM63"/>
    <mergeCell ref="AZ70:BA70"/>
    <mergeCell ref="AZ71:BA71"/>
    <mergeCell ref="AZ72:BA72"/>
    <mergeCell ref="S102:W102"/>
    <mergeCell ref="T77:X77"/>
    <mergeCell ref="V95:W95"/>
    <mergeCell ref="V96:W96"/>
    <mergeCell ref="V97:W97"/>
    <mergeCell ref="AT70:AU70"/>
    <mergeCell ref="AT71:AU71"/>
    <mergeCell ref="AT72:AU72"/>
    <mergeCell ref="U120:V120"/>
    <mergeCell ref="U121:V121"/>
    <mergeCell ref="U122:V122"/>
    <mergeCell ref="U123:V123"/>
    <mergeCell ref="Y102:AC102"/>
    <mergeCell ref="AA120:AB120"/>
    <mergeCell ref="AA121:AB121"/>
    <mergeCell ref="AA122:AB122"/>
    <mergeCell ref="AA123:AB123"/>
    <mergeCell ref="G102:K102"/>
    <mergeCell ref="I120:J120"/>
    <mergeCell ref="I121:J121"/>
    <mergeCell ref="I122:J122"/>
    <mergeCell ref="I123:J123"/>
    <mergeCell ref="M102:Q102"/>
    <mergeCell ref="O120:P120"/>
    <mergeCell ref="O121:P121"/>
    <mergeCell ref="O122:P122"/>
    <mergeCell ref="O123:P123"/>
    <mergeCell ref="M77:Q77"/>
    <mergeCell ref="O95:P95"/>
    <mergeCell ref="O96:P96"/>
    <mergeCell ref="O97:P97"/>
    <mergeCell ref="O98:P98"/>
    <mergeCell ref="G77:K77"/>
    <mergeCell ref="I95:J95"/>
    <mergeCell ref="I96:J96"/>
    <mergeCell ref="I97:J97"/>
    <mergeCell ref="I98:J98"/>
    <mergeCell ref="DA2:DE2"/>
    <mergeCell ref="DC20:DD20"/>
    <mergeCell ref="DC21:DD21"/>
    <mergeCell ref="DC22:DD22"/>
    <mergeCell ref="DC23:DD23"/>
    <mergeCell ref="CO2:CS2"/>
    <mergeCell ref="CQ20:CR20"/>
    <mergeCell ref="CQ21:CR21"/>
    <mergeCell ref="CQ22:CR22"/>
    <mergeCell ref="CQ23:CR23"/>
    <mergeCell ref="CU2:CY2"/>
    <mergeCell ref="CW20:CX20"/>
    <mergeCell ref="CW21:CX21"/>
    <mergeCell ref="CW22:CX22"/>
    <mergeCell ref="CW23:CX23"/>
    <mergeCell ref="C73:D73"/>
    <mergeCell ref="I73:J73"/>
    <mergeCell ref="O73:P73"/>
    <mergeCell ref="C70:D70"/>
    <mergeCell ref="I70:J70"/>
    <mergeCell ref="O70:P70"/>
    <mergeCell ref="C47:D47"/>
    <mergeCell ref="I47:J47"/>
    <mergeCell ref="O47:P47"/>
    <mergeCell ref="C48:D48"/>
    <mergeCell ref="O48:P48"/>
    <mergeCell ref="C49:D49"/>
    <mergeCell ref="I49:J49"/>
    <mergeCell ref="C3:G3"/>
    <mergeCell ref="E21:F21"/>
    <mergeCell ref="E22:F22"/>
    <mergeCell ref="E23:F23"/>
    <mergeCell ref="E24:F24"/>
    <mergeCell ref="J23:K23"/>
    <mergeCell ref="P23:Q23"/>
    <mergeCell ref="V23:W23"/>
    <mergeCell ref="V72:W72"/>
    <mergeCell ref="A52:E52"/>
    <mergeCell ref="G52:K52"/>
    <mergeCell ref="M52:Q52"/>
    <mergeCell ref="J20:K20"/>
    <mergeCell ref="P20:Q20"/>
    <mergeCell ref="C71:D71"/>
    <mergeCell ref="I71:J71"/>
    <mergeCell ref="O71:P71"/>
    <mergeCell ref="C72:D72"/>
    <mergeCell ref="I72:J72"/>
    <mergeCell ref="O72:P72"/>
    <mergeCell ref="O49:P49"/>
    <mergeCell ref="A28:E28"/>
    <mergeCell ref="C46:D46"/>
    <mergeCell ref="I48:J48"/>
    <mergeCell ref="AF44:AG44"/>
    <mergeCell ref="AF45:AG45"/>
    <mergeCell ref="AF72:AG72"/>
    <mergeCell ref="AN72:AO72"/>
    <mergeCell ref="V98:W98"/>
    <mergeCell ref="V73:W73"/>
    <mergeCell ref="AF69:AG69"/>
    <mergeCell ref="AF70:AG70"/>
    <mergeCell ref="AF71:AG71"/>
    <mergeCell ref="AN70:AO70"/>
    <mergeCell ref="AN71:AO71"/>
    <mergeCell ref="V70:W70"/>
    <mergeCell ref="V71:W71"/>
    <mergeCell ref="AD77:AH77"/>
    <mergeCell ref="AF95:AG95"/>
    <mergeCell ref="AF96:AG96"/>
    <mergeCell ref="AF97:AG97"/>
    <mergeCell ref="AF98:AG98"/>
    <mergeCell ref="AK77:AO77"/>
    <mergeCell ref="AM90:AN90"/>
    <mergeCell ref="AM91:AN91"/>
    <mergeCell ref="AM92:AN92"/>
    <mergeCell ref="AM93:AN93"/>
    <mergeCell ref="BF46:BG46"/>
    <mergeCell ref="BF47:BG47"/>
    <mergeCell ref="AL51:AP51"/>
    <mergeCell ref="AN69:AO69"/>
    <mergeCell ref="AN44:AO44"/>
    <mergeCell ref="AN45:AO45"/>
    <mergeCell ref="AN46:AO46"/>
    <mergeCell ref="AN47:AO47"/>
    <mergeCell ref="AX51:BB51"/>
    <mergeCell ref="AZ69:BA69"/>
    <mergeCell ref="AR51:AV51"/>
    <mergeCell ref="AT69:AU69"/>
    <mergeCell ref="CH2:CL2"/>
    <mergeCell ref="CJ20:CK20"/>
    <mergeCell ref="CJ21:CK21"/>
    <mergeCell ref="CJ22:CK22"/>
    <mergeCell ref="CJ23:CK23"/>
    <mergeCell ref="BV2:BZ2"/>
    <mergeCell ref="BX20:BY20"/>
    <mergeCell ref="BX21:BY21"/>
    <mergeCell ref="BX22:BY22"/>
    <mergeCell ref="BX23:BY23"/>
    <mergeCell ref="CB2:CF2"/>
    <mergeCell ref="CD20:CE20"/>
    <mergeCell ref="CD21:CE21"/>
    <mergeCell ref="CD22:CE22"/>
    <mergeCell ref="CD23:CE23"/>
    <mergeCell ref="BJ2:BN2"/>
    <mergeCell ref="BL20:BM20"/>
    <mergeCell ref="BL21:BM21"/>
    <mergeCell ref="BP2:BT2"/>
    <mergeCell ref="BR20:BS20"/>
    <mergeCell ref="BR21:BS21"/>
    <mergeCell ref="BR22:BS22"/>
    <mergeCell ref="BR23:BS23"/>
    <mergeCell ref="T52:X52"/>
    <mergeCell ref="U47:V47"/>
    <mergeCell ref="T2:X2"/>
    <mergeCell ref="Z2:AD2"/>
    <mergeCell ref="AF2:AJ2"/>
    <mergeCell ref="AL2:AP2"/>
    <mergeCell ref="BF48:BG48"/>
    <mergeCell ref="AD51:AH51"/>
    <mergeCell ref="AL26:AP26"/>
    <mergeCell ref="V20:W20"/>
    <mergeCell ref="AB20:AC20"/>
    <mergeCell ref="AH20:AI20"/>
    <mergeCell ref="AN20:AO20"/>
    <mergeCell ref="AZ20:BA20"/>
    <mergeCell ref="U49:V49"/>
    <mergeCell ref="U48:V48"/>
    <mergeCell ref="H2:L2"/>
    <mergeCell ref="N2:R2"/>
    <mergeCell ref="BD2:BH2"/>
    <mergeCell ref="BF20:BG20"/>
    <mergeCell ref="BF21:BG21"/>
    <mergeCell ref="AF46:AG46"/>
    <mergeCell ref="AF47:AG47"/>
    <mergeCell ref="AX26:BB26"/>
    <mergeCell ref="AB23:AC23"/>
    <mergeCell ref="AH23:AI23"/>
    <mergeCell ref="AX2:BB2"/>
    <mergeCell ref="AZ21:BA21"/>
    <mergeCell ref="G28:K28"/>
    <mergeCell ref="M28:Q28"/>
    <mergeCell ref="S28:W28"/>
    <mergeCell ref="I46:J46"/>
    <mergeCell ref="O46:P46"/>
    <mergeCell ref="U46:V46"/>
    <mergeCell ref="J21:K21"/>
    <mergeCell ref="P21:Q21"/>
    <mergeCell ref="V21:W21"/>
    <mergeCell ref="J22:K22"/>
    <mergeCell ref="P22:Q22"/>
    <mergeCell ref="V22:W22"/>
    <mergeCell ref="AB21:AC21"/>
    <mergeCell ref="AH21:AI21"/>
    <mergeCell ref="AN21:AO21"/>
    <mergeCell ref="BY41:BZ41"/>
    <mergeCell ref="AH22:AI22"/>
    <mergeCell ref="AN22:AO22"/>
    <mergeCell ref="AZ22:BA22"/>
    <mergeCell ref="BF22:BG22"/>
    <mergeCell ref="BF23:BG23"/>
    <mergeCell ref="AB22:AC22"/>
    <mergeCell ref="BL22:BM22"/>
    <mergeCell ref="BL23:BM23"/>
    <mergeCell ref="AN23:AO23"/>
    <mergeCell ref="AD26:AH26"/>
    <mergeCell ref="BD27:BH27"/>
    <mergeCell ref="AZ23:BA23"/>
    <mergeCell ref="A77:E77"/>
    <mergeCell ref="C95:D95"/>
    <mergeCell ref="C96:D96"/>
    <mergeCell ref="C97:D97"/>
    <mergeCell ref="C98:D98"/>
    <mergeCell ref="BY42:BZ42"/>
    <mergeCell ref="BY43:BZ43"/>
    <mergeCell ref="BS45:BT45"/>
    <mergeCell ref="BJ27:BN27"/>
    <mergeCell ref="BL40:BM40"/>
    <mergeCell ref="BL41:BM41"/>
    <mergeCell ref="BL42:BM42"/>
    <mergeCell ref="BL43:BM43"/>
    <mergeCell ref="BQ27:BU27"/>
    <mergeCell ref="BS42:BT42"/>
    <mergeCell ref="BS43:BT43"/>
    <mergeCell ref="BS44:BT44"/>
    <mergeCell ref="BW27:CA27"/>
    <mergeCell ref="BY40:BZ40"/>
    <mergeCell ref="AZ44:BA44"/>
    <mergeCell ref="AZ45:BA45"/>
    <mergeCell ref="AZ46:BA46"/>
    <mergeCell ref="AZ47:BA47"/>
    <mergeCell ref="BF45:BG45"/>
  </mergeCells>
  <conditionalFormatting sqref="E49">
    <cfRule type="cellIs" dxfId="149" priority="40" operator="lessThan">
      <formula>0.65</formula>
    </cfRule>
  </conditionalFormatting>
  <conditionalFormatting sqref="E73">
    <cfRule type="cellIs" dxfId="148" priority="36" operator="lessThan">
      <formula>0.65</formula>
    </cfRule>
  </conditionalFormatting>
  <conditionalFormatting sqref="E98">
    <cfRule type="cellIs" dxfId="147" priority="3" operator="lessThan">
      <formula>0.65</formula>
    </cfRule>
  </conditionalFormatting>
  <conditionalFormatting sqref="G24">
    <cfRule type="cellIs" dxfId="146" priority="17" operator="lessThan">
      <formula>0.65</formula>
    </cfRule>
  </conditionalFormatting>
  <conditionalFormatting sqref="K49">
    <cfRule type="cellIs" dxfId="145" priority="39" operator="lessThan">
      <formula>0.65</formula>
    </cfRule>
  </conditionalFormatting>
  <conditionalFormatting sqref="K73">
    <cfRule type="cellIs" dxfId="144" priority="34" operator="lessThan">
      <formula>0.65</formula>
    </cfRule>
  </conditionalFormatting>
  <conditionalFormatting sqref="K98">
    <cfRule type="cellIs" dxfId="143" priority="10" operator="lessThan">
      <formula>0.65</formula>
    </cfRule>
  </conditionalFormatting>
  <conditionalFormatting sqref="K123">
    <cfRule type="cellIs" dxfId="142" priority="9" operator="lessThan">
      <formula>0.65</formula>
    </cfRule>
  </conditionalFormatting>
  <conditionalFormatting sqref="L23">
    <cfRule type="cellIs" dxfId="141" priority="48" operator="lessThan">
      <formula>0.65</formula>
    </cfRule>
  </conditionalFormatting>
  <conditionalFormatting sqref="Q49">
    <cfRule type="cellIs" dxfId="140" priority="38" operator="lessThan">
      <formula>0.65</formula>
    </cfRule>
  </conditionalFormatting>
  <conditionalFormatting sqref="Q73">
    <cfRule type="cellIs" dxfId="139" priority="35" operator="lessThan">
      <formula>0.65</formula>
    </cfRule>
  </conditionalFormatting>
  <conditionalFormatting sqref="Q98">
    <cfRule type="cellIs" dxfId="138" priority="11" operator="lessThan">
      <formula>0.65</formula>
    </cfRule>
  </conditionalFormatting>
  <conditionalFormatting sqref="Q123">
    <cfRule type="cellIs" dxfId="137" priority="8" operator="lessThan">
      <formula>0.65</formula>
    </cfRule>
  </conditionalFormatting>
  <conditionalFormatting sqref="R23">
    <cfRule type="cellIs" dxfId="136" priority="47" operator="lessThan">
      <formula>0.65</formula>
    </cfRule>
  </conditionalFormatting>
  <conditionalFormatting sqref="W49">
    <cfRule type="cellIs" dxfId="135" priority="37" operator="lessThan">
      <formula>0.65</formula>
    </cfRule>
  </conditionalFormatting>
  <conditionalFormatting sqref="W123">
    <cfRule type="cellIs" dxfId="134" priority="7" operator="lessThan">
      <formula>0.65</formula>
    </cfRule>
  </conditionalFormatting>
  <conditionalFormatting sqref="X23">
    <cfRule type="cellIs" dxfId="133" priority="46" operator="lessThan">
      <formula>0.65</formula>
    </cfRule>
  </conditionalFormatting>
  <conditionalFormatting sqref="X73">
    <cfRule type="cellIs" dxfId="132" priority="25" operator="lessThan">
      <formula>0.65</formula>
    </cfRule>
  </conditionalFormatting>
  <conditionalFormatting sqref="X98">
    <cfRule type="cellIs" dxfId="131" priority="16" operator="lessThan">
      <formula>0.65</formula>
    </cfRule>
  </conditionalFormatting>
  <conditionalFormatting sqref="AC123">
    <cfRule type="cellIs" dxfId="130" priority="6" operator="lessThan">
      <formula>0.65</formula>
    </cfRule>
  </conditionalFormatting>
  <conditionalFormatting sqref="AD23:AE23">
    <cfRule type="cellIs" dxfId="129" priority="26" operator="lessThan">
      <formula>0.65</formula>
    </cfRule>
  </conditionalFormatting>
  <conditionalFormatting sqref="AH47:AI47">
    <cfRule type="cellIs" dxfId="128" priority="28" operator="lessThan">
      <formula>0.65</formula>
    </cfRule>
  </conditionalFormatting>
  <conditionalFormatting sqref="AH72:AI72">
    <cfRule type="cellIs" dxfId="127" priority="27" operator="lessThan">
      <formula>0.65</formula>
    </cfRule>
  </conditionalFormatting>
  <conditionalFormatting sqref="AH98:AI98">
    <cfRule type="cellIs" dxfId="126" priority="15" operator="lessThan">
      <formula>0.65</formula>
    </cfRule>
  </conditionalFormatting>
  <conditionalFormatting sqref="AJ23:AK23">
    <cfRule type="cellIs" dxfId="125" priority="44" operator="lessThan">
      <formula>0.65</formula>
    </cfRule>
  </conditionalFormatting>
  <conditionalFormatting sqref="AO93">
    <cfRule type="cellIs" dxfId="124" priority="2" operator="lessThan">
      <formula>0.65</formula>
    </cfRule>
  </conditionalFormatting>
  <conditionalFormatting sqref="AP72">
    <cfRule type="cellIs" dxfId="123" priority="18" operator="lessThan">
      <formula>0.65</formula>
    </cfRule>
  </conditionalFormatting>
  <conditionalFormatting sqref="AP47:AQ47">
    <cfRule type="cellIs" dxfId="122" priority="41" operator="lessThan">
      <formula>0.65</formula>
    </cfRule>
  </conditionalFormatting>
  <conditionalFormatting sqref="AP23:AS23">
    <cfRule type="cellIs" dxfId="121" priority="43" operator="lessThan">
      <formula>0.65</formula>
    </cfRule>
  </conditionalFormatting>
  <conditionalFormatting sqref="AV72:AW72">
    <cfRule type="cellIs" dxfId="120" priority="1" operator="lessThan">
      <formula>0.65</formula>
    </cfRule>
  </conditionalFormatting>
  <conditionalFormatting sqref="BB23">
    <cfRule type="cellIs" dxfId="119" priority="42" operator="lessThan">
      <formula>0.65</formula>
    </cfRule>
  </conditionalFormatting>
  <conditionalFormatting sqref="BB47">
    <cfRule type="cellIs" dxfId="118" priority="22" operator="lessThan">
      <formula>0.65</formula>
    </cfRule>
  </conditionalFormatting>
  <conditionalFormatting sqref="BB72">
    <cfRule type="cellIs" dxfId="117" priority="5" operator="lessThan">
      <formula>0.65</formula>
    </cfRule>
  </conditionalFormatting>
  <conditionalFormatting sqref="BH23">
    <cfRule type="cellIs" dxfId="116" priority="24" operator="lessThan">
      <formula>0.65</formula>
    </cfRule>
  </conditionalFormatting>
  <conditionalFormatting sqref="BH48">
    <cfRule type="cellIs" dxfId="115" priority="23" operator="lessThan">
      <formula>0.65</formula>
    </cfRule>
  </conditionalFormatting>
  <conditionalFormatting sqref="BN23">
    <cfRule type="cellIs" dxfId="114" priority="33" operator="lessThan">
      <formula>0.65</formula>
    </cfRule>
  </conditionalFormatting>
  <conditionalFormatting sqref="BN43">
    <cfRule type="cellIs" dxfId="113" priority="21" operator="lessThan">
      <formula>0.65</formula>
    </cfRule>
  </conditionalFormatting>
  <conditionalFormatting sqref="BN63">
    <cfRule type="cellIs" dxfId="112" priority="4" operator="lessThan">
      <formula>0.65</formula>
    </cfRule>
  </conditionalFormatting>
  <conditionalFormatting sqref="BT23">
    <cfRule type="cellIs" dxfId="111" priority="32" operator="lessThan">
      <formula>0.65</formula>
    </cfRule>
  </conditionalFormatting>
  <conditionalFormatting sqref="BU45">
    <cfRule type="cellIs" dxfId="110" priority="20" operator="lessThan">
      <formula>0.65</formula>
    </cfRule>
  </conditionalFormatting>
  <conditionalFormatting sqref="BZ23">
    <cfRule type="cellIs" dxfId="109" priority="31" operator="lessThan">
      <formula>0.65</formula>
    </cfRule>
  </conditionalFormatting>
  <conditionalFormatting sqref="CA43">
    <cfRule type="cellIs" dxfId="108" priority="19" operator="lessThan">
      <formula>0.65</formula>
    </cfRule>
  </conditionalFormatting>
  <conditionalFormatting sqref="CF23">
    <cfRule type="cellIs" dxfId="107" priority="30" operator="lessThan">
      <formula>0.65</formula>
    </cfRule>
  </conditionalFormatting>
  <conditionalFormatting sqref="CL23">
    <cfRule type="cellIs" dxfId="106" priority="29" operator="lessThan">
      <formula>0.65</formula>
    </cfRule>
  </conditionalFormatting>
  <conditionalFormatting sqref="CS23">
    <cfRule type="cellIs" dxfId="105" priority="14" operator="lessThan">
      <formula>0.65</formula>
    </cfRule>
  </conditionalFormatting>
  <conditionalFormatting sqref="CY23">
    <cfRule type="cellIs" dxfId="104" priority="13" operator="lessThan">
      <formula>0.65</formula>
    </cfRule>
  </conditionalFormatting>
  <conditionalFormatting sqref="DE23">
    <cfRule type="cellIs" dxfId="103" priority="12" operator="lessThan">
      <formula>0.65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67771-3A82-4A6E-973E-3383D5CC02B2}">
  <dimension ref="B1:J61"/>
  <sheetViews>
    <sheetView topLeftCell="A25" workbookViewId="0">
      <selection activeCell="F23" sqref="F23"/>
    </sheetView>
  </sheetViews>
  <sheetFormatPr defaultRowHeight="14.4" x14ac:dyDescent="0.3"/>
  <cols>
    <col min="2" max="2" width="27.88671875" customWidth="1"/>
  </cols>
  <sheetData>
    <row r="1" spans="2:10" x14ac:dyDescent="0.3">
      <c r="F1" s="56" t="s">
        <v>394</v>
      </c>
      <c r="G1" s="14"/>
      <c r="J1" s="65" t="s">
        <v>484</v>
      </c>
    </row>
    <row r="2" spans="2:10" x14ac:dyDescent="0.3">
      <c r="B2" s="31" t="s">
        <v>47</v>
      </c>
      <c r="F2" s="55" t="s">
        <v>371</v>
      </c>
      <c r="G2" s="14"/>
      <c r="J2" s="57" t="s">
        <v>481</v>
      </c>
    </row>
    <row r="3" spans="2:10" x14ac:dyDescent="0.3">
      <c r="B3" s="30" t="s">
        <v>50</v>
      </c>
      <c r="F3" s="55" t="s">
        <v>112</v>
      </c>
      <c r="G3" s="14"/>
      <c r="J3" s="57" t="s">
        <v>487</v>
      </c>
    </row>
    <row r="4" spans="2:10" x14ac:dyDescent="0.3">
      <c r="B4" s="58" t="s">
        <v>31</v>
      </c>
      <c r="F4" s="55" t="s">
        <v>352</v>
      </c>
      <c r="G4" s="14"/>
    </row>
    <row r="5" spans="2:10" x14ac:dyDescent="0.3">
      <c r="B5" s="30" t="s">
        <v>57</v>
      </c>
      <c r="F5" s="55" t="s">
        <v>372</v>
      </c>
      <c r="G5" s="14"/>
    </row>
    <row r="6" spans="2:10" x14ac:dyDescent="0.3">
      <c r="B6" s="58" t="s">
        <v>326</v>
      </c>
      <c r="F6" s="55" t="s">
        <v>373</v>
      </c>
      <c r="G6" s="14"/>
    </row>
    <row r="7" spans="2:10" x14ac:dyDescent="0.3">
      <c r="B7" s="58" t="s">
        <v>408</v>
      </c>
      <c r="F7" s="55" t="s">
        <v>374</v>
      </c>
      <c r="G7" s="14"/>
    </row>
    <row r="8" spans="2:10" x14ac:dyDescent="0.3">
      <c r="B8" s="30" t="s">
        <v>72</v>
      </c>
      <c r="F8" s="55" t="s">
        <v>375</v>
      </c>
      <c r="G8" s="14"/>
    </row>
    <row r="9" spans="2:10" x14ac:dyDescent="0.3">
      <c r="B9" s="29" t="s">
        <v>48</v>
      </c>
      <c r="F9" s="55" t="s">
        <v>376</v>
      </c>
      <c r="G9" s="14"/>
    </row>
    <row r="10" spans="2:10" x14ac:dyDescent="0.3">
      <c r="B10" s="30" t="s">
        <v>63</v>
      </c>
      <c r="F10" s="55" t="s">
        <v>115</v>
      </c>
      <c r="G10" s="14"/>
    </row>
    <row r="11" spans="2:10" x14ac:dyDescent="0.3">
      <c r="B11" s="29" t="s">
        <v>64</v>
      </c>
      <c r="F11" s="55" t="s">
        <v>377</v>
      </c>
      <c r="G11" s="14"/>
    </row>
    <row r="12" spans="2:10" x14ac:dyDescent="0.3">
      <c r="B12" s="58" t="s">
        <v>288</v>
      </c>
      <c r="F12" s="55" t="s">
        <v>378</v>
      </c>
      <c r="G12" s="14"/>
    </row>
    <row r="13" spans="2:10" x14ac:dyDescent="0.3">
      <c r="B13" s="29" t="s">
        <v>190</v>
      </c>
      <c r="F13" s="55" t="s">
        <v>346</v>
      </c>
      <c r="G13" s="14"/>
    </row>
    <row r="14" spans="2:10" x14ac:dyDescent="0.3">
      <c r="B14" s="58" t="s">
        <v>320</v>
      </c>
      <c r="F14" s="55" t="s">
        <v>379</v>
      </c>
      <c r="G14" s="14"/>
    </row>
    <row r="15" spans="2:10" x14ac:dyDescent="0.3">
      <c r="B15" s="58" t="s">
        <v>401</v>
      </c>
      <c r="F15" s="55" t="s">
        <v>380</v>
      </c>
      <c r="G15" s="14"/>
    </row>
    <row r="16" spans="2:10" x14ac:dyDescent="0.3">
      <c r="B16" s="30" t="s">
        <v>52</v>
      </c>
      <c r="F16" s="55" t="s">
        <v>357</v>
      </c>
      <c r="G16" s="14"/>
    </row>
    <row r="17" spans="2:7" x14ac:dyDescent="0.3">
      <c r="B17" s="58" t="s">
        <v>219</v>
      </c>
      <c r="F17" s="55" t="s">
        <v>381</v>
      </c>
      <c r="G17" s="14"/>
    </row>
    <row r="18" spans="2:7" x14ac:dyDescent="0.3">
      <c r="B18" s="30" t="s">
        <v>71</v>
      </c>
      <c r="F18" s="55" t="s">
        <v>382</v>
      </c>
      <c r="G18" s="14"/>
    </row>
    <row r="19" spans="2:7" x14ac:dyDescent="0.3">
      <c r="B19" s="29" t="s">
        <v>51</v>
      </c>
      <c r="F19" s="14" t="s">
        <v>383</v>
      </c>
      <c r="G19" s="14"/>
    </row>
    <row r="20" spans="2:7" x14ac:dyDescent="0.3">
      <c r="B20" s="29" t="s">
        <v>49</v>
      </c>
      <c r="F20" s="14" t="s">
        <v>384</v>
      </c>
      <c r="G20" s="14"/>
    </row>
    <row r="21" spans="2:7" x14ac:dyDescent="0.3">
      <c r="B21" s="30" t="s">
        <v>403</v>
      </c>
      <c r="F21" s="14" t="s">
        <v>385</v>
      </c>
      <c r="G21" s="14"/>
    </row>
    <row r="22" spans="2:7" x14ac:dyDescent="0.3">
      <c r="B22" s="58" t="s">
        <v>406</v>
      </c>
      <c r="F22" s="14" t="s">
        <v>386</v>
      </c>
      <c r="G22" s="14"/>
    </row>
    <row r="23" spans="2:7" x14ac:dyDescent="0.3">
      <c r="B23" s="58" t="s">
        <v>402</v>
      </c>
      <c r="F23" s="55" t="s">
        <v>387</v>
      </c>
      <c r="G23" s="14"/>
    </row>
    <row r="24" spans="2:7" x14ac:dyDescent="0.3">
      <c r="B24" s="30" t="s">
        <v>62</v>
      </c>
      <c r="F24" s="55" t="s">
        <v>388</v>
      </c>
      <c r="G24" s="14"/>
    </row>
    <row r="25" spans="2:7" x14ac:dyDescent="0.3">
      <c r="B25" s="30" t="s">
        <v>193</v>
      </c>
      <c r="F25" s="55" t="s">
        <v>389</v>
      </c>
      <c r="G25" s="14"/>
    </row>
    <row r="26" spans="2:7" x14ac:dyDescent="0.3">
      <c r="B26" s="58" t="s">
        <v>404</v>
      </c>
      <c r="F26" s="55" t="s">
        <v>390</v>
      </c>
      <c r="G26" s="14"/>
    </row>
    <row r="27" spans="2:7" x14ac:dyDescent="0.3">
      <c r="B27" s="58" t="s">
        <v>407</v>
      </c>
      <c r="F27" s="57" t="s">
        <v>395</v>
      </c>
    </row>
    <row r="28" spans="2:7" x14ac:dyDescent="0.3">
      <c r="B28" s="29" t="s">
        <v>189</v>
      </c>
      <c r="F28" s="57" t="s">
        <v>396</v>
      </c>
    </row>
    <row r="29" spans="2:7" x14ac:dyDescent="0.3">
      <c r="B29" s="29" t="s">
        <v>75</v>
      </c>
      <c r="F29" s="57" t="s">
        <v>397</v>
      </c>
    </row>
    <row r="30" spans="2:7" x14ac:dyDescent="0.3">
      <c r="B30" s="29" t="s">
        <v>78</v>
      </c>
    </row>
    <row r="31" spans="2:7" x14ac:dyDescent="0.3">
      <c r="B31" s="29" t="s">
        <v>68</v>
      </c>
    </row>
    <row r="32" spans="2:7" x14ac:dyDescent="0.3">
      <c r="B32" s="29" t="s">
        <v>80</v>
      </c>
    </row>
    <row r="33" spans="2:2" x14ac:dyDescent="0.3">
      <c r="B33" s="30" t="s">
        <v>194</v>
      </c>
    </row>
    <row r="34" spans="2:2" x14ac:dyDescent="0.3">
      <c r="B34" s="30" t="s">
        <v>310</v>
      </c>
    </row>
    <row r="35" spans="2:2" x14ac:dyDescent="0.3">
      <c r="B35" s="29" t="s">
        <v>55</v>
      </c>
    </row>
    <row r="36" spans="2:2" x14ac:dyDescent="0.3">
      <c r="B36" s="29" t="s">
        <v>82</v>
      </c>
    </row>
    <row r="37" spans="2:2" x14ac:dyDescent="0.3">
      <c r="B37" s="29" t="s">
        <v>58</v>
      </c>
    </row>
    <row r="38" spans="2:2" x14ac:dyDescent="0.3">
      <c r="B38" s="29" t="s">
        <v>191</v>
      </c>
    </row>
    <row r="39" spans="2:2" x14ac:dyDescent="0.3">
      <c r="B39" s="30" t="s">
        <v>192</v>
      </c>
    </row>
    <row r="40" spans="2:2" x14ac:dyDescent="0.3">
      <c r="B40" s="61" t="s">
        <v>76</v>
      </c>
    </row>
    <row r="41" spans="2:2" x14ac:dyDescent="0.3">
      <c r="B41" s="29" t="s">
        <v>53</v>
      </c>
    </row>
    <row r="42" spans="2:2" x14ac:dyDescent="0.3">
      <c r="B42" s="29" t="s">
        <v>196</v>
      </c>
    </row>
    <row r="43" spans="2:2" x14ac:dyDescent="0.3">
      <c r="B43" s="29" t="s">
        <v>77</v>
      </c>
    </row>
    <row r="44" spans="2:2" x14ac:dyDescent="0.3">
      <c r="B44" s="29" t="s">
        <v>67</v>
      </c>
    </row>
    <row r="45" spans="2:2" x14ac:dyDescent="0.3">
      <c r="B45" s="29" t="s">
        <v>74</v>
      </c>
    </row>
    <row r="46" spans="2:2" x14ac:dyDescent="0.3">
      <c r="B46" s="58" t="s">
        <v>405</v>
      </c>
    </row>
    <row r="47" spans="2:2" x14ac:dyDescent="0.3">
      <c r="B47" s="29" t="s">
        <v>73</v>
      </c>
    </row>
    <row r="48" spans="2:2" x14ac:dyDescent="0.3">
      <c r="B48" s="60" t="s">
        <v>70</v>
      </c>
    </row>
    <row r="49" spans="2:2" x14ac:dyDescent="0.3">
      <c r="B49" s="60" t="s">
        <v>65</v>
      </c>
    </row>
    <row r="50" spans="2:2" x14ac:dyDescent="0.3">
      <c r="B50" s="60" t="s">
        <v>69</v>
      </c>
    </row>
    <row r="51" spans="2:2" x14ac:dyDescent="0.3">
      <c r="B51" s="60" t="s">
        <v>66</v>
      </c>
    </row>
    <row r="52" spans="2:2" x14ac:dyDescent="0.3">
      <c r="B52" s="60" t="s">
        <v>60</v>
      </c>
    </row>
    <row r="53" spans="2:2" x14ac:dyDescent="0.3">
      <c r="B53" s="59" t="s">
        <v>59</v>
      </c>
    </row>
    <row r="54" spans="2:2" x14ac:dyDescent="0.3">
      <c r="B54" s="60" t="s">
        <v>79</v>
      </c>
    </row>
    <row r="55" spans="2:2" x14ac:dyDescent="0.3">
      <c r="B55" s="60" t="s">
        <v>81</v>
      </c>
    </row>
    <row r="56" spans="2:2" x14ac:dyDescent="0.3">
      <c r="B56" s="60" t="s">
        <v>54</v>
      </c>
    </row>
    <row r="57" spans="2:2" x14ac:dyDescent="0.3">
      <c r="B57" s="59" t="s">
        <v>195</v>
      </c>
    </row>
    <row r="58" spans="2:2" x14ac:dyDescent="0.3">
      <c r="B58" s="60" t="s">
        <v>61</v>
      </c>
    </row>
    <row r="59" spans="2:2" x14ac:dyDescent="0.3">
      <c r="B59" s="60"/>
    </row>
    <row r="60" spans="2:2" x14ac:dyDescent="0.3">
      <c r="B60" s="60"/>
    </row>
    <row r="61" spans="2:2" x14ac:dyDescent="0.3">
      <c r="B61" s="60"/>
    </row>
  </sheetData>
  <sortState xmlns:xlrd2="http://schemas.microsoft.com/office/spreadsheetml/2017/richdata2" ref="B3:B59">
    <sortCondition ref="B59"/>
  </sortState>
  <hyperlinks>
    <hyperlink ref="B2" location="'BAKERY '!AL2" display="Plain CROISSANTS " xr:uid="{D61CA060-B1CF-4E9E-9630-29B154863BEA}"/>
    <hyperlink ref="B3" location="'BAKERY '!AL26" display="ALMOND " xr:uid="{7FB0551A-7FB1-48DA-AD26-3874E78F0F3B}"/>
    <hyperlink ref="B57" location="'BAKERY '!H2" display="TUILES AUX AMANDES " xr:uid="{094C0846-0F76-4D22-A83B-0231B7C49B69}"/>
    <hyperlink ref="B33" location="'BAKERY '!N2" display="GLUTEN FREE MINI CAKE " xr:uid="{251ED975-20AF-4CB7-8FC8-1BFF74A504D9}"/>
    <hyperlink ref="B24" location="'BAKERY '!T2" display="CIABATA" xr:uid="{5B9BD499-1D50-4492-8323-AD940E557583}"/>
    <hyperlink ref="B5" location="'BAKERY '!Z2" display="BAGUETTE " xr:uid="{CB9CB423-986E-45A6-A22D-31EC851BB806}"/>
    <hyperlink ref="B53" location="'BAKERY '!AF2" display="SOUR DOUGH " xr:uid="{F5F02D4E-9D64-49FD-AD10-BCBF9D0DF01E}"/>
    <hyperlink ref="B10" location="'BAKERY '!G28" display="BIRIOCHE KITCHEN " xr:uid="{6A5E1B1D-1246-44CA-A3E8-A4784425C949}"/>
    <hyperlink ref="B39" location="'BAKERY '!M28" display="MADELEINES" xr:uid="{6A4D460A-DEE3-4229-B37D-EFA6C94CE2C0}"/>
    <hyperlink ref="B25" location="'BAKERY '!G52" display="COOKIES " xr:uid="{30367BFD-04F7-4F3F-BA7B-74CFC32E12AB}"/>
    <hyperlink ref="B40" location="'BAKERY '!BI2" display="MILLIE FEUILLE " xr:uid="{1804D60C-968F-443F-AFFF-3DAA01AF439D}"/>
    <hyperlink ref="F2" location="HP!A2" display="TERRACE BREAKFAST " xr:uid="{079E25B8-1809-42C4-92C7-6DAD2CD431DD}"/>
    <hyperlink ref="F3" location="HP!G2" display="EGGS BENEDICT" xr:uid="{042ACD15-6ADD-4459-8C74-12F26AE6AA94}"/>
    <hyperlink ref="F5" location="HP!M2" display="PARISIENNE OMELETTE" xr:uid="{DA3A95C1-F3C9-45A8-B9E2-E0B3DA72BB0C}"/>
    <hyperlink ref="F4" location="HP!A27" display="SMOKED SALMON CROISSANT " xr:uid="{B23B4B9E-DA49-4E56-9AF9-96507E71255B}"/>
    <hyperlink ref="F10" location="'KITCHEN '!AR2" display="BEEF FILLET " xr:uid="{0407DF9A-7F2E-40CA-9564-84BA97074760}"/>
    <hyperlink ref="F9" location="'KITCHEN '!BD2" display="FISH A LA MEUNIERE" xr:uid="{EFC4AF55-638C-4BC6-B95D-4B485BD176D3}"/>
    <hyperlink ref="F6" location="'KITCHEN '!N2" display="CDP FRENCH TOAST " xr:uid="{1CEABB71-C9EF-4AEC-8C23-9C4BD8C32AB0}"/>
    <hyperlink ref="F7" location="HP!BC4" display="BREAD AND BUTTER " xr:uid="{D0950D21-48D2-4B2A-8760-20D9984F8168}"/>
    <hyperlink ref="F8" location="HP!BI2" display="YOGHURT AND SEASONAL FRUITS" xr:uid="{1A80E0D3-0605-4048-8FAB-4CB42BE68769}"/>
    <hyperlink ref="F11" location="HP!T27" display="STEAK TARTARE" xr:uid="{976521D7-7185-4C6F-A297-8ADEBFC8384A}"/>
    <hyperlink ref="F13" location="INDEX!BO2" display="AUBERGINE GRATINEE" xr:uid="{613720A1-6FEB-4053-9D41-3CA3636F35D1}"/>
    <hyperlink ref="F15" location="HP!H27" display="ZIMBO STYLE TBONE AND SADZA" xr:uid="{03C1D0D2-E17A-4B01-8258-C74E22B6A11F}"/>
    <hyperlink ref="F16" location="'KITCHEN '!N51" display="BISTRO SALAD" xr:uid="{49C6ABAE-5E69-4088-8A26-86EAE2C44B6F}"/>
    <hyperlink ref="F17" location="'KITCHEN '!B51" display="HARARE GARDEN NICOISE" xr:uid="{53528D00-B9EF-43EF-BB94-2F8B8BFA8273}"/>
    <hyperlink ref="F18" location="'KITCHEN '!B75" display="WARM GOAT CHEESE SALAD" xr:uid="{659EF166-16A3-46EB-809B-D9593FFB37F3}"/>
    <hyperlink ref="F23" location="'KITCHEN '!AF2" display="BEEF BURGER" xr:uid="{9860F087-2210-4C1F-B164-DA083920B06E}"/>
    <hyperlink ref="F25" location="'KITCHEN '!Z76" display="CLUB SANDWICH " xr:uid="{87BED6AB-0427-4220-B8B7-D9B5B744A8D6}"/>
    <hyperlink ref="F26" location="HP!CA27" display="NUTELLA CROISSANTS" xr:uid="{F00E48D9-953E-49E0-AD1B-E6E63F778FB0}"/>
    <hyperlink ref="F14" location="'KITCHEN '!BV2" display="LEMON AND HERB TAGLATELLES" xr:uid="{6EC43668-98BD-41E9-935B-CE6920F61548}"/>
    <hyperlink ref="F24" location="HP!N27" display="CHICKEN BURGER" xr:uid="{ADE7BCCF-3479-41B1-BBA5-9FE54F9869F8}"/>
    <hyperlink ref="F12" location="HP!Z27" display="CHICKEN BALLOTINE" xr:uid="{4FF9A316-226D-41CA-A060-37FB79136835}"/>
    <hyperlink ref="F28" location="HP!CA2" display="SAUCISSE AT OEUF" xr:uid="{E042C9F4-B41B-466F-8C89-2F516FAA4121}"/>
    <hyperlink ref="F29" location="HP!N52" display="RED PASTA" xr:uid="{A424319A-72F8-41FA-A33E-752153692B3A}"/>
    <hyperlink ref="F27" location="HP!T52" display="MINI POULET PANE ET FRITES" xr:uid="{D07D63B8-A748-436B-8F7C-BA493A0F5D88}"/>
    <hyperlink ref="B4" location="'BAKERY '!A28" display="ALMOND CREAM " xr:uid="{DABA544D-DDCC-4EA5-953A-D84EC8964F4C}"/>
    <hyperlink ref="B15" location="'BAKERY '!AD26" display="CHEESECAKE" xr:uid="{BF65DD24-7005-47D9-B51C-C407A5CF1BD2}"/>
    <hyperlink ref="B23" location="'BAKERY '!AW26" display="CHOCOLATE ORANGE CAKE " xr:uid="{42856F01-1F8C-400E-8680-EAE483A7B6E3}"/>
    <hyperlink ref="B34" location="'BAKERY '!BC27" display="HOT CROSS BUN " xr:uid="{5F43FA9E-9B2E-46F3-8EDB-ABA6EE4C375F}"/>
    <hyperlink ref="B21" location="'BAKERY '!BI27" display="CHOCOLATE CAKE " xr:uid="{015037F2-6800-49CB-B081-D0A2314BAE84}"/>
    <hyperlink ref="B14" location="'BAKERY '!BP27" display="CARROT CAKE " xr:uid="{AFD1F386-53DB-4E0D-85F6-E7996F3A5303}"/>
    <hyperlink ref="B6" location="'BAKERY '!BV27" display="BATONNE " xr:uid="{BE620267-111F-439B-AEA6-09AEEAA56A51}"/>
    <hyperlink ref="B26" location="'BAKERY '!A52" display="CRAQLIN" xr:uid="{0EBE01A2-B1A7-40C7-8CC2-13206EAB435F}"/>
    <hyperlink ref="B46" location="'BAKERY '!M52" display="PASTRY CREAM " xr:uid="{EEA2A0F4-DC35-4CBF-B3D8-8A2FBE6D834F}"/>
    <hyperlink ref="B22" location="'BAKERY '!T52" display="CHOCOLATE CAKE OLD" xr:uid="{32FDE01D-FC48-4128-951B-DDCE888AA766}"/>
    <hyperlink ref="B12" location="'BAKERY '!AD52" display="BUCHE DE NOEL " xr:uid="{DAD59904-BA4D-4E28-A936-1D208A319BFD}"/>
    <hyperlink ref="B27" location="'BAKERY '!AL2" display="CROISSANT " xr:uid="{1BF9B51F-D0ED-4D34-997E-263157F13E57}"/>
    <hyperlink ref="B16" location="'BAKERY '!BC2" display="CHELSEA " xr:uid="{8E5C8A45-997F-4227-BD7E-D6049FD92EDD}"/>
    <hyperlink ref="B18" location="'BAKERY '!BI2" display="CHICKEN PIE " xr:uid="{2EDFEAB2-4F70-4237-B518-2B730B3A77FD}"/>
    <hyperlink ref="B8" location="'BAKERY '!BU2" display="BEEF PIE " xr:uid="{04C237DD-0B54-4F3A-955C-21081EA8BE3D}"/>
    <hyperlink ref="B7" location="'BAKERY '!CA2" display="BEEF FILLING " xr:uid="{DCE86CFA-CC15-4621-B66B-004DA55E0D8F}"/>
    <hyperlink ref="B17" location="'BAKERY '!CG2" display="CHICKEN FILLING " xr:uid="{5491F890-F929-4467-A609-C8A10B259B64}"/>
    <hyperlink ref="J2" location="INDEX!H75" display="GRILLED PRAWNS " xr:uid="{879306A7-5CBF-4955-B00E-ED5B4E93DF4A}"/>
    <hyperlink ref="J3" location="INDEX!AW51" display="BROWNIES " xr:uid="{7AD8DE82-4C60-4AB2-84F6-090700B7CFF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381D-EE51-44B9-B2B5-8DEF8DD6F963}">
  <sheetPr>
    <pageSetUpPr fitToPage="1"/>
  </sheetPr>
  <dimension ref="A1:CM120"/>
  <sheetViews>
    <sheetView topLeftCell="AG46" zoomScale="87" zoomScaleNormal="91" workbookViewId="0">
      <selection activeCell="F14" sqref="F14"/>
    </sheetView>
  </sheetViews>
  <sheetFormatPr defaultRowHeight="14.4" x14ac:dyDescent="0.3"/>
  <cols>
    <col min="2" max="2" width="19.88671875" customWidth="1"/>
    <col min="8" max="8" width="19.77734375" customWidth="1"/>
    <col min="14" max="14" width="20.109375" customWidth="1"/>
    <col min="20" max="20" width="14.5546875" customWidth="1"/>
    <col min="26" max="26" width="18" customWidth="1"/>
    <col min="32" max="32" width="19.88671875" customWidth="1"/>
    <col min="38" max="38" width="13.5546875" customWidth="1"/>
    <col min="39" max="39" width="13.33203125" customWidth="1"/>
    <col min="44" max="44" width="13.5546875" customWidth="1"/>
    <col min="45" max="45" width="21.6640625" customWidth="1"/>
    <col min="50" max="50" width="14.5546875" customWidth="1"/>
    <col min="51" max="51" width="16.109375" customWidth="1"/>
    <col min="56" max="56" width="17.33203125" customWidth="1"/>
    <col min="68" max="68" width="15.5546875" customWidth="1"/>
    <col min="69" max="69" width="18.6640625" customWidth="1"/>
    <col min="75" max="75" width="13.77734375" customWidth="1"/>
    <col min="80" max="80" width="15.109375" customWidth="1"/>
    <col min="81" max="81" width="15.6640625" customWidth="1"/>
  </cols>
  <sheetData>
    <row r="1" spans="2:84" ht="15" thickBot="1" x14ac:dyDescent="0.35"/>
    <row r="2" spans="2:84" ht="15" thickBot="1" x14ac:dyDescent="0.35">
      <c r="B2" s="69" t="s">
        <v>109</v>
      </c>
      <c r="C2" s="70"/>
      <c r="D2" s="70"/>
      <c r="E2" s="70"/>
      <c r="F2" s="71"/>
      <c r="G2" s="1"/>
      <c r="H2" s="69" t="s">
        <v>110</v>
      </c>
      <c r="I2" s="70"/>
      <c r="J2" s="70"/>
      <c r="K2" s="70"/>
      <c r="L2" s="71"/>
      <c r="M2" s="1"/>
      <c r="N2" s="33" t="s">
        <v>111</v>
      </c>
      <c r="O2" s="34" t="s">
        <v>34</v>
      </c>
      <c r="P2" s="35">
        <v>2.12</v>
      </c>
      <c r="Q2" s="34">
        <v>0.11</v>
      </c>
      <c r="R2" s="36">
        <f t="shared" ref="R2:R11" si="0">+Q2*P2</f>
        <v>0.23320000000000002</v>
      </c>
      <c r="S2" s="1"/>
      <c r="T2" s="69" t="s">
        <v>112</v>
      </c>
      <c r="U2" s="70"/>
      <c r="V2" s="70"/>
      <c r="W2" s="70"/>
      <c r="X2" s="71"/>
      <c r="Y2" s="1"/>
      <c r="AE2" s="1"/>
      <c r="AF2" s="69" t="s">
        <v>113</v>
      </c>
      <c r="AG2" s="70"/>
      <c r="AH2" s="70"/>
      <c r="AI2" s="70"/>
      <c r="AJ2" s="71"/>
      <c r="AK2" s="1"/>
      <c r="AL2" s="69" t="s">
        <v>114</v>
      </c>
      <c r="AM2" s="70"/>
      <c r="AN2" s="70"/>
      <c r="AO2" s="70"/>
      <c r="AP2" s="71"/>
      <c r="AQ2" s="1"/>
      <c r="AR2" s="69" t="s">
        <v>115</v>
      </c>
      <c r="AS2" s="70"/>
      <c r="AT2" s="70"/>
      <c r="AU2" s="70"/>
      <c r="AV2" s="71"/>
      <c r="AW2" s="1"/>
      <c r="AX2" s="69" t="s">
        <v>116</v>
      </c>
      <c r="AY2" s="70"/>
      <c r="AZ2" s="70"/>
      <c r="BA2" s="70"/>
      <c r="BB2" s="71"/>
      <c r="BC2" s="1"/>
      <c r="BD2" s="69" t="s">
        <v>117</v>
      </c>
      <c r="BE2" s="70"/>
      <c r="BF2" s="70"/>
      <c r="BG2" s="70"/>
      <c r="BH2" s="71"/>
      <c r="BI2" s="1"/>
      <c r="BJ2" s="69" t="s">
        <v>118</v>
      </c>
      <c r="BK2" s="70"/>
      <c r="BL2" s="70"/>
      <c r="BM2" s="70"/>
      <c r="BN2" s="71"/>
      <c r="BO2" s="1"/>
      <c r="BP2" s="69" t="s">
        <v>255</v>
      </c>
      <c r="BQ2" s="70"/>
      <c r="BR2" s="70"/>
      <c r="BS2" s="70"/>
      <c r="BT2" s="71"/>
      <c r="BV2" s="69" t="s">
        <v>391</v>
      </c>
      <c r="BW2" s="70"/>
      <c r="BX2" s="70"/>
      <c r="BY2" s="70"/>
      <c r="BZ2" s="71"/>
      <c r="CB2" s="69" t="s">
        <v>391</v>
      </c>
      <c r="CC2" s="70"/>
      <c r="CD2" s="70"/>
      <c r="CE2" s="70"/>
      <c r="CF2" s="71"/>
    </row>
    <row r="3" spans="2:84" ht="15" thickBot="1" x14ac:dyDescent="0.35">
      <c r="B3" s="2" t="s">
        <v>3</v>
      </c>
      <c r="C3" s="3" t="s">
        <v>4</v>
      </c>
      <c r="D3" s="3" t="s">
        <v>5</v>
      </c>
      <c r="E3" s="4" t="s">
        <v>6</v>
      </c>
      <c r="F3" s="5" t="s">
        <v>7</v>
      </c>
      <c r="G3" s="1"/>
      <c r="H3" s="2" t="s">
        <v>3</v>
      </c>
      <c r="I3" s="3" t="s">
        <v>4</v>
      </c>
      <c r="J3" s="3" t="s">
        <v>5</v>
      </c>
      <c r="K3" s="4" t="s">
        <v>6</v>
      </c>
      <c r="L3" s="5" t="s">
        <v>7</v>
      </c>
      <c r="M3" s="1"/>
      <c r="N3" s="37" t="s">
        <v>39</v>
      </c>
      <c r="O3" s="18" t="s">
        <v>44</v>
      </c>
      <c r="P3" s="32">
        <v>8</v>
      </c>
      <c r="Q3" s="18">
        <v>0.03</v>
      </c>
      <c r="R3" s="38">
        <f t="shared" si="0"/>
        <v>0.24</v>
      </c>
      <c r="S3" s="1"/>
      <c r="T3" s="2" t="s">
        <v>3</v>
      </c>
      <c r="U3" s="3" t="s">
        <v>4</v>
      </c>
      <c r="V3" s="3" t="s">
        <v>5</v>
      </c>
      <c r="W3" s="4" t="s">
        <v>6</v>
      </c>
      <c r="X3" s="5" t="s">
        <v>7</v>
      </c>
      <c r="Y3" s="1"/>
      <c r="AE3" s="1"/>
      <c r="AF3" s="2" t="s">
        <v>3</v>
      </c>
      <c r="AG3" s="3" t="s">
        <v>4</v>
      </c>
      <c r="AH3" s="3" t="s">
        <v>5</v>
      </c>
      <c r="AI3" s="4" t="s">
        <v>6</v>
      </c>
      <c r="AJ3" s="5" t="s">
        <v>7</v>
      </c>
      <c r="AK3" s="1"/>
      <c r="AL3" s="2" t="s">
        <v>3</v>
      </c>
      <c r="AM3" s="3" t="s">
        <v>4</v>
      </c>
      <c r="AN3" s="3" t="s">
        <v>5</v>
      </c>
      <c r="AO3" s="4" t="s">
        <v>6</v>
      </c>
      <c r="AP3" s="5" t="s">
        <v>7</v>
      </c>
      <c r="AQ3" s="1"/>
      <c r="AR3" s="2" t="s">
        <v>3</v>
      </c>
      <c r="AS3" s="3" t="s">
        <v>4</v>
      </c>
      <c r="AT3" s="3" t="s">
        <v>5</v>
      </c>
      <c r="AU3" s="4" t="s">
        <v>6</v>
      </c>
      <c r="AV3" s="5" t="s">
        <v>7</v>
      </c>
      <c r="AW3" s="1"/>
      <c r="AX3" s="2" t="s">
        <v>3</v>
      </c>
      <c r="AY3" s="3" t="s">
        <v>4</v>
      </c>
      <c r="AZ3" s="3" t="s">
        <v>5</v>
      </c>
      <c r="BA3" s="4" t="s">
        <v>6</v>
      </c>
      <c r="BB3" s="5" t="s">
        <v>7</v>
      </c>
      <c r="BC3" s="1"/>
      <c r="BD3" s="2" t="s">
        <v>3</v>
      </c>
      <c r="BE3" s="3" t="s">
        <v>4</v>
      </c>
      <c r="BF3" s="3" t="s">
        <v>5</v>
      </c>
      <c r="BG3" s="4" t="s">
        <v>6</v>
      </c>
      <c r="BH3" s="5" t="s">
        <v>7</v>
      </c>
      <c r="BI3" s="1"/>
      <c r="BJ3" s="2" t="s">
        <v>3</v>
      </c>
      <c r="BK3" s="3" t="s">
        <v>4</v>
      </c>
      <c r="BL3" s="3" t="s">
        <v>5</v>
      </c>
      <c r="BM3" s="4" t="s">
        <v>6</v>
      </c>
      <c r="BN3" s="5" t="s">
        <v>7</v>
      </c>
      <c r="BO3" s="1"/>
      <c r="BP3" s="45" t="s">
        <v>3</v>
      </c>
      <c r="BQ3" s="10" t="s">
        <v>4</v>
      </c>
      <c r="BR3" s="10" t="s">
        <v>5</v>
      </c>
      <c r="BS3" s="10" t="s">
        <v>6</v>
      </c>
      <c r="BT3" s="46" t="s">
        <v>7</v>
      </c>
      <c r="BV3" s="2" t="s">
        <v>3</v>
      </c>
      <c r="BW3" s="3" t="s">
        <v>4</v>
      </c>
      <c r="BX3" s="3" t="s">
        <v>5</v>
      </c>
      <c r="BY3" s="4" t="s">
        <v>6</v>
      </c>
      <c r="BZ3" s="5" t="s">
        <v>7</v>
      </c>
      <c r="CB3" s="2" t="s">
        <v>3</v>
      </c>
      <c r="CC3" s="3" t="s">
        <v>4</v>
      </c>
      <c r="CD3" s="3" t="s">
        <v>5</v>
      </c>
      <c r="CE3" s="4" t="s">
        <v>6</v>
      </c>
      <c r="CF3" s="5" t="s">
        <v>7</v>
      </c>
    </row>
    <row r="4" spans="2:84" x14ac:dyDescent="0.3">
      <c r="B4" s="7" t="s">
        <v>91</v>
      </c>
      <c r="C4" s="8" t="s">
        <v>34</v>
      </c>
      <c r="D4" s="9">
        <v>0.15</v>
      </c>
      <c r="E4" s="10">
        <v>2</v>
      </c>
      <c r="F4" s="11">
        <f t="shared" ref="F4:F18" si="1">+E4*D4</f>
        <v>0.3</v>
      </c>
      <c r="G4" s="1"/>
      <c r="H4" s="7" t="s">
        <v>91</v>
      </c>
      <c r="I4" s="8" t="s">
        <v>34</v>
      </c>
      <c r="J4" s="9">
        <v>0.15</v>
      </c>
      <c r="K4" s="10">
        <v>3</v>
      </c>
      <c r="L4" s="11">
        <f t="shared" ref="L4:L16" si="2">+K4*J4</f>
        <v>0.44999999999999996</v>
      </c>
      <c r="M4" s="1"/>
      <c r="N4" s="37" t="s">
        <v>119</v>
      </c>
      <c r="O4" s="18" t="s">
        <v>11</v>
      </c>
      <c r="P4" s="32">
        <v>1</v>
      </c>
      <c r="Q4" s="18">
        <v>0.2</v>
      </c>
      <c r="R4" s="38">
        <f t="shared" si="0"/>
        <v>0.2</v>
      </c>
      <c r="S4" s="1"/>
      <c r="T4" s="7" t="s">
        <v>120</v>
      </c>
      <c r="U4" s="8" t="s">
        <v>34</v>
      </c>
      <c r="V4" s="9">
        <v>1</v>
      </c>
      <c r="W4" s="10">
        <v>1</v>
      </c>
      <c r="X4" s="11">
        <v>0.45</v>
      </c>
      <c r="Y4" s="1"/>
      <c r="AE4" s="1"/>
      <c r="AF4" s="7" t="s">
        <v>122</v>
      </c>
      <c r="AG4" s="8" t="s">
        <v>34</v>
      </c>
      <c r="AH4" s="9">
        <v>11.5</v>
      </c>
      <c r="AI4" s="10">
        <v>0.15</v>
      </c>
      <c r="AJ4" s="11">
        <f t="shared" ref="AJ4:AJ18" si="3">+AI4*AH4</f>
        <v>1.7249999999999999</v>
      </c>
      <c r="AK4" s="1"/>
      <c r="AL4" s="7" t="s">
        <v>123</v>
      </c>
      <c r="AM4" s="8" t="s">
        <v>34</v>
      </c>
      <c r="AN4" s="9">
        <v>5.34</v>
      </c>
      <c r="AO4" s="10">
        <v>0.3</v>
      </c>
      <c r="AP4" s="11">
        <f t="shared" ref="AP4:AP18" si="4">+AO4*AN4</f>
        <v>1.6019999999999999</v>
      </c>
      <c r="AQ4" s="1"/>
      <c r="AR4" s="7" t="s">
        <v>124</v>
      </c>
      <c r="AS4" s="8" t="s">
        <v>34</v>
      </c>
      <c r="AT4" s="9">
        <v>19.75</v>
      </c>
      <c r="AU4" s="10">
        <v>0.2</v>
      </c>
      <c r="AV4" s="11">
        <f t="shared" ref="AV4:AV18" si="5">+AU4*AT4</f>
        <v>3.95</v>
      </c>
      <c r="AW4" s="1"/>
      <c r="AX4" s="7" t="s">
        <v>125</v>
      </c>
      <c r="AY4" s="8" t="s">
        <v>34</v>
      </c>
      <c r="AZ4" s="9">
        <v>12.5</v>
      </c>
      <c r="BA4" s="10">
        <v>0.2</v>
      </c>
      <c r="BB4" s="11">
        <f t="shared" ref="BB4:BB18" si="6">+BA4*AZ4</f>
        <v>2.5</v>
      </c>
      <c r="BC4" s="1"/>
      <c r="BD4" s="7" t="s">
        <v>126</v>
      </c>
      <c r="BE4" s="8" t="s">
        <v>34</v>
      </c>
      <c r="BF4" s="9">
        <v>7.6</v>
      </c>
      <c r="BG4" s="10">
        <v>0.2</v>
      </c>
      <c r="BH4" s="11">
        <f t="shared" ref="BH4:BH18" si="7">+BG4*BF4</f>
        <v>1.52</v>
      </c>
      <c r="BI4" s="1"/>
      <c r="BJ4" s="7" t="s">
        <v>91</v>
      </c>
      <c r="BK4" s="8" t="s">
        <v>34</v>
      </c>
      <c r="BL4" s="9">
        <v>7.6</v>
      </c>
      <c r="BM4" s="10">
        <v>0.2</v>
      </c>
      <c r="BN4" s="11">
        <f t="shared" ref="BN4:BN18" si="8">+BM4*BL4</f>
        <v>1.52</v>
      </c>
      <c r="BO4" s="1"/>
      <c r="BP4" s="37" t="s">
        <v>111</v>
      </c>
      <c r="BQ4" s="18" t="s">
        <v>34</v>
      </c>
      <c r="BR4" s="32">
        <v>2.12</v>
      </c>
      <c r="BS4" s="18">
        <v>0.11</v>
      </c>
      <c r="BT4" s="38">
        <f t="shared" ref="BT4:BT12" si="9">+BS4*BR4</f>
        <v>0.23320000000000002</v>
      </c>
      <c r="BV4" s="33"/>
      <c r="BW4" s="34"/>
      <c r="BX4" s="35"/>
      <c r="BY4" s="34"/>
      <c r="BZ4" s="36"/>
      <c r="CB4" s="33"/>
      <c r="CC4" s="34"/>
      <c r="CD4" s="35"/>
      <c r="CE4" s="34"/>
      <c r="CF4" s="36"/>
    </row>
    <row r="5" spans="2:84" x14ac:dyDescent="0.3">
      <c r="B5" s="15" t="s">
        <v>127</v>
      </c>
      <c r="C5" s="16" t="s">
        <v>128</v>
      </c>
      <c r="D5" s="17">
        <v>0.1</v>
      </c>
      <c r="E5" s="18">
        <v>1</v>
      </c>
      <c r="F5" s="11">
        <f t="shared" si="1"/>
        <v>0.1</v>
      </c>
      <c r="G5" s="1"/>
      <c r="H5" s="15" t="s">
        <v>127</v>
      </c>
      <c r="I5" s="16" t="s">
        <v>128</v>
      </c>
      <c r="J5" s="17">
        <v>0.1</v>
      </c>
      <c r="K5" s="18">
        <v>1</v>
      </c>
      <c r="L5" s="11">
        <f t="shared" si="2"/>
        <v>0.1</v>
      </c>
      <c r="M5" s="1"/>
      <c r="N5" s="37" t="s">
        <v>129</v>
      </c>
      <c r="O5" s="18" t="s">
        <v>11</v>
      </c>
      <c r="P5" s="32">
        <v>6</v>
      </c>
      <c r="Q5" s="18">
        <v>0.04</v>
      </c>
      <c r="R5" s="38">
        <f t="shared" si="0"/>
        <v>0.24</v>
      </c>
      <c r="S5" s="1"/>
      <c r="T5" s="15" t="s">
        <v>130</v>
      </c>
      <c r="U5" s="16" t="s">
        <v>11</v>
      </c>
      <c r="V5" s="17">
        <v>18</v>
      </c>
      <c r="W5" s="18">
        <v>0.05</v>
      </c>
      <c r="X5" s="11">
        <f t="shared" ref="X5:X18" si="10">+W5*V5</f>
        <v>0.9</v>
      </c>
      <c r="Y5" s="1"/>
      <c r="AE5" s="1"/>
      <c r="AF5" s="15" t="s">
        <v>131</v>
      </c>
      <c r="AG5" s="16" t="s">
        <v>128</v>
      </c>
      <c r="AH5" s="17">
        <v>0.5</v>
      </c>
      <c r="AI5" s="18">
        <v>1</v>
      </c>
      <c r="AJ5" s="11">
        <f t="shared" si="3"/>
        <v>0.5</v>
      </c>
      <c r="AK5" s="1"/>
      <c r="AL5" s="15" t="s">
        <v>132</v>
      </c>
      <c r="AM5" s="16" t="s">
        <v>34</v>
      </c>
      <c r="AN5" s="17">
        <v>0.15</v>
      </c>
      <c r="AO5" s="18">
        <v>0.05</v>
      </c>
      <c r="AP5" s="11">
        <f t="shared" si="4"/>
        <v>7.4999999999999997E-3</v>
      </c>
      <c r="AQ5" s="1"/>
      <c r="AR5" s="15" t="s">
        <v>133</v>
      </c>
      <c r="AS5" s="16" t="s">
        <v>9</v>
      </c>
      <c r="AT5" s="17">
        <v>11</v>
      </c>
      <c r="AU5" s="18">
        <v>0</v>
      </c>
      <c r="AV5" s="11">
        <f t="shared" si="5"/>
        <v>0</v>
      </c>
      <c r="AW5" s="1"/>
      <c r="AX5" s="15" t="s">
        <v>134</v>
      </c>
      <c r="AY5" s="16" t="s">
        <v>11</v>
      </c>
      <c r="AZ5" s="17">
        <v>5.34</v>
      </c>
      <c r="BA5" s="18">
        <v>0.12</v>
      </c>
      <c r="BB5" s="11">
        <f t="shared" si="6"/>
        <v>0.64079999999999993</v>
      </c>
      <c r="BC5" s="1"/>
      <c r="BD5" s="15" t="s">
        <v>135</v>
      </c>
      <c r="BE5" s="16" t="s">
        <v>34</v>
      </c>
      <c r="BF5" s="17">
        <v>0.6</v>
      </c>
      <c r="BG5" s="18">
        <v>0.2</v>
      </c>
      <c r="BH5" s="11">
        <f t="shared" si="7"/>
        <v>0.12</v>
      </c>
      <c r="BI5" s="1"/>
      <c r="BJ5" s="15" t="s">
        <v>136</v>
      </c>
      <c r="BK5" s="16" t="s">
        <v>9</v>
      </c>
      <c r="BL5" s="17">
        <v>0.6</v>
      </c>
      <c r="BM5" s="18">
        <v>0.16</v>
      </c>
      <c r="BN5" s="11">
        <f t="shared" si="8"/>
        <v>9.6000000000000002E-2</v>
      </c>
      <c r="BO5" s="1"/>
      <c r="BP5" s="37" t="s">
        <v>129</v>
      </c>
      <c r="BQ5" s="18" t="s">
        <v>11</v>
      </c>
      <c r="BR5" s="32">
        <v>6</v>
      </c>
      <c r="BS5" s="18">
        <v>0.1</v>
      </c>
      <c r="BT5" s="38">
        <f t="shared" ref="BT5:BT10" si="11">+BS5*BR5</f>
        <v>0.60000000000000009</v>
      </c>
      <c r="BV5" s="37"/>
      <c r="BW5" s="18"/>
      <c r="BX5" s="32"/>
      <c r="BY5" s="18"/>
      <c r="BZ5" s="38"/>
      <c r="CB5" s="37"/>
      <c r="CC5" s="18"/>
      <c r="CD5" s="32"/>
      <c r="CE5" s="18"/>
      <c r="CF5" s="38"/>
    </row>
    <row r="6" spans="2:84" x14ac:dyDescent="0.3">
      <c r="B6" s="15" t="s">
        <v>137</v>
      </c>
      <c r="C6" s="16" t="s">
        <v>11</v>
      </c>
      <c r="D6" s="17">
        <v>1</v>
      </c>
      <c r="E6" s="18">
        <v>0.02</v>
      </c>
      <c r="F6" s="11">
        <f t="shared" si="1"/>
        <v>0.02</v>
      </c>
      <c r="G6" s="1"/>
      <c r="H6" s="15" t="s">
        <v>138</v>
      </c>
      <c r="I6" s="16" t="s">
        <v>11</v>
      </c>
      <c r="J6" s="17">
        <v>12.04</v>
      </c>
      <c r="K6" s="18">
        <v>0.03</v>
      </c>
      <c r="L6" s="11">
        <f t="shared" si="2"/>
        <v>0.36119999999999997</v>
      </c>
      <c r="M6" s="1"/>
      <c r="N6" s="37" t="s">
        <v>139</v>
      </c>
      <c r="O6" s="18" t="s">
        <v>11</v>
      </c>
      <c r="P6" s="32">
        <v>1</v>
      </c>
      <c r="Q6" s="18">
        <v>0.03</v>
      </c>
      <c r="R6" s="38">
        <f t="shared" si="0"/>
        <v>0.03</v>
      </c>
      <c r="S6" s="1"/>
      <c r="T6" s="15" t="s">
        <v>132</v>
      </c>
      <c r="U6" s="16" t="s">
        <v>128</v>
      </c>
      <c r="V6" s="17">
        <v>0.15</v>
      </c>
      <c r="W6" s="18">
        <v>2</v>
      </c>
      <c r="X6" s="11">
        <f t="shared" si="10"/>
        <v>0.3</v>
      </c>
      <c r="Y6" s="1"/>
      <c r="AE6" s="1"/>
      <c r="AF6" s="15" t="s">
        <v>141</v>
      </c>
      <c r="AG6" s="16" t="s">
        <v>34</v>
      </c>
      <c r="AH6" s="17">
        <v>0.6</v>
      </c>
      <c r="AI6" s="18">
        <v>0.1</v>
      </c>
      <c r="AJ6" s="11">
        <f t="shared" si="3"/>
        <v>0.06</v>
      </c>
      <c r="AK6" s="1"/>
      <c r="AL6" s="15" t="s">
        <v>45</v>
      </c>
      <c r="AM6" s="16" t="s">
        <v>9</v>
      </c>
      <c r="AN6" s="17">
        <v>0.15</v>
      </c>
      <c r="AO6" s="18">
        <v>2</v>
      </c>
      <c r="AP6" s="11">
        <f t="shared" si="4"/>
        <v>0.3</v>
      </c>
      <c r="AQ6" s="1"/>
      <c r="AR6" s="15" t="s">
        <v>142</v>
      </c>
      <c r="AS6" s="16" t="s">
        <v>9</v>
      </c>
      <c r="AT6" s="17">
        <v>0.15</v>
      </c>
      <c r="AU6" s="18">
        <v>0.25</v>
      </c>
      <c r="AV6" s="11">
        <f t="shared" si="5"/>
        <v>3.7499999999999999E-2</v>
      </c>
      <c r="AW6" s="1"/>
      <c r="AX6" s="15" t="s">
        <v>143</v>
      </c>
      <c r="AY6" s="16" t="s">
        <v>11</v>
      </c>
      <c r="AZ6" s="17">
        <v>12.5</v>
      </c>
      <c r="BA6" s="18">
        <v>7.4999999999999997E-2</v>
      </c>
      <c r="BB6" s="11">
        <f t="shared" si="6"/>
        <v>0.9375</v>
      </c>
      <c r="BC6" s="1"/>
      <c r="BD6" s="15"/>
      <c r="BE6" s="16"/>
      <c r="BF6" s="17"/>
      <c r="BG6" s="18"/>
      <c r="BH6" s="11"/>
      <c r="BI6" s="1"/>
      <c r="BJ6" s="15" t="s">
        <v>8</v>
      </c>
      <c r="BK6" s="16" t="s">
        <v>9</v>
      </c>
      <c r="BL6" s="17">
        <v>9.1999999999999993</v>
      </c>
      <c r="BM6" s="18">
        <v>0.04</v>
      </c>
      <c r="BN6" s="11">
        <f t="shared" si="8"/>
        <v>0.36799999999999999</v>
      </c>
      <c r="BO6" s="1"/>
      <c r="BP6" s="37" t="s">
        <v>139</v>
      </c>
      <c r="BQ6" s="18" t="s">
        <v>11</v>
      </c>
      <c r="BR6" s="32">
        <v>1</v>
      </c>
      <c r="BS6" s="18">
        <v>0.03</v>
      </c>
      <c r="BT6" s="38">
        <f t="shared" si="11"/>
        <v>0.03</v>
      </c>
      <c r="BV6" s="37"/>
      <c r="BW6" s="18"/>
      <c r="BX6" s="32"/>
      <c r="BY6" s="18"/>
      <c r="BZ6" s="38"/>
      <c r="CB6" s="37"/>
      <c r="CC6" s="18"/>
      <c r="CD6" s="32"/>
      <c r="CE6" s="18"/>
      <c r="CF6" s="38"/>
    </row>
    <row r="7" spans="2:84" x14ac:dyDescent="0.3">
      <c r="B7" s="15" t="s">
        <v>133</v>
      </c>
      <c r="C7" s="16" t="s">
        <v>11</v>
      </c>
      <c r="D7" s="17">
        <v>11</v>
      </c>
      <c r="E7" s="18">
        <v>0.05</v>
      </c>
      <c r="F7" s="11">
        <f t="shared" si="1"/>
        <v>0.55000000000000004</v>
      </c>
      <c r="G7" s="1"/>
      <c r="H7" s="15" t="s">
        <v>144</v>
      </c>
      <c r="I7" s="16" t="s">
        <v>11</v>
      </c>
      <c r="J7" s="17">
        <v>11</v>
      </c>
      <c r="K7" s="18">
        <v>0.05</v>
      </c>
      <c r="L7" s="11">
        <f t="shared" si="2"/>
        <v>0.55000000000000004</v>
      </c>
      <c r="M7" s="1"/>
      <c r="N7" s="37" t="s">
        <v>145</v>
      </c>
      <c r="O7" s="18" t="s">
        <v>11</v>
      </c>
      <c r="P7" s="32">
        <v>1</v>
      </c>
      <c r="Q7" s="18">
        <v>0.02</v>
      </c>
      <c r="R7" s="38">
        <f t="shared" si="0"/>
        <v>0.02</v>
      </c>
      <c r="S7" s="1"/>
      <c r="T7" s="15" t="s">
        <v>8</v>
      </c>
      <c r="U7" s="16" t="s">
        <v>11</v>
      </c>
      <c r="V7" s="17">
        <v>8.6999999999999993</v>
      </c>
      <c r="W7" s="18">
        <v>0.02</v>
      </c>
      <c r="X7" s="11">
        <f t="shared" si="10"/>
        <v>0.17399999999999999</v>
      </c>
      <c r="Y7" s="1"/>
      <c r="AE7" s="1"/>
      <c r="AF7" s="15" t="s">
        <v>146</v>
      </c>
      <c r="AG7" s="16" t="s">
        <v>11</v>
      </c>
      <c r="AH7" s="17">
        <v>8.6999999999999993</v>
      </c>
      <c r="AK7" s="1"/>
      <c r="AL7" s="15" t="s">
        <v>147</v>
      </c>
      <c r="AM7" s="16" t="s">
        <v>9</v>
      </c>
      <c r="AN7" s="17">
        <v>9</v>
      </c>
      <c r="AO7" s="18">
        <v>0.02</v>
      </c>
      <c r="AP7" s="11">
        <f t="shared" si="4"/>
        <v>0.18</v>
      </c>
      <c r="AQ7" s="1"/>
      <c r="AR7" s="15" t="s">
        <v>8</v>
      </c>
      <c r="AS7" s="16" t="s">
        <v>9</v>
      </c>
      <c r="AT7" s="17">
        <v>8.6999999999999993</v>
      </c>
      <c r="AU7" s="18">
        <v>0.03</v>
      </c>
      <c r="AV7" s="11">
        <f t="shared" si="5"/>
        <v>0.26099999999999995</v>
      </c>
      <c r="AW7" s="1"/>
      <c r="AX7" s="15" t="s">
        <v>126</v>
      </c>
      <c r="AY7" s="16" t="s">
        <v>11</v>
      </c>
      <c r="AZ7" s="17">
        <v>7.6</v>
      </c>
      <c r="BA7" s="18">
        <v>0.1</v>
      </c>
      <c r="BB7" s="11">
        <f t="shared" si="6"/>
        <v>0.76</v>
      </c>
      <c r="BC7" s="1"/>
      <c r="BD7" s="15"/>
      <c r="BE7" s="16"/>
      <c r="BF7" s="17"/>
      <c r="BG7" s="18"/>
      <c r="BH7" s="11"/>
      <c r="BI7" s="1"/>
      <c r="BJ7" s="15" t="s">
        <v>133</v>
      </c>
      <c r="BK7" s="16" t="s">
        <v>9</v>
      </c>
      <c r="BL7" s="17">
        <v>11</v>
      </c>
      <c r="BM7" s="18">
        <v>0.08</v>
      </c>
      <c r="BN7" s="11">
        <f t="shared" si="8"/>
        <v>0.88</v>
      </c>
      <c r="BO7" s="1"/>
      <c r="BP7" s="37" t="s">
        <v>145</v>
      </c>
      <c r="BQ7" s="18" t="s">
        <v>11</v>
      </c>
      <c r="BR7" s="32">
        <v>1</v>
      </c>
      <c r="BS7" s="18">
        <v>0.01</v>
      </c>
      <c r="BT7" s="38">
        <f t="shared" si="11"/>
        <v>0.01</v>
      </c>
      <c r="BV7" s="37" t="s">
        <v>301</v>
      </c>
      <c r="BW7" s="18"/>
      <c r="BX7" s="32">
        <v>0.6</v>
      </c>
      <c r="BY7" s="18">
        <v>5.0000000000000001E-3</v>
      </c>
      <c r="BZ7" s="38">
        <f t="shared" ref="BZ7:BZ18" si="12">+BY7*BX7</f>
        <v>3.0000000000000001E-3</v>
      </c>
      <c r="CB7" s="37" t="s">
        <v>301</v>
      </c>
      <c r="CC7" s="18"/>
      <c r="CD7" s="32">
        <v>0.6</v>
      </c>
      <c r="CE7" s="18">
        <v>5.0000000000000001E-3</v>
      </c>
      <c r="CF7" s="38">
        <f t="shared" ref="CF7:CF12" si="13">+CE7*CD7</f>
        <v>3.0000000000000001E-3</v>
      </c>
    </row>
    <row r="8" spans="2:84" x14ac:dyDescent="0.3">
      <c r="B8" s="15" t="s">
        <v>12</v>
      </c>
      <c r="C8" s="16" t="s">
        <v>44</v>
      </c>
      <c r="D8" s="17">
        <v>1.55</v>
      </c>
      <c r="E8" s="18">
        <v>5.0000000000000001E-3</v>
      </c>
      <c r="F8" s="11">
        <f t="shared" si="1"/>
        <v>7.7500000000000008E-3</v>
      </c>
      <c r="G8" s="1"/>
      <c r="H8" s="15" t="s">
        <v>146</v>
      </c>
      <c r="I8" s="16" t="s">
        <v>11</v>
      </c>
      <c r="J8" s="17">
        <v>1.5</v>
      </c>
      <c r="K8" s="18">
        <v>5.0000000000000001E-3</v>
      </c>
      <c r="L8" s="11">
        <f t="shared" si="2"/>
        <v>7.4999999999999997E-3</v>
      </c>
      <c r="M8" s="1"/>
      <c r="N8" s="37" t="s">
        <v>19</v>
      </c>
      <c r="O8" s="18" t="s">
        <v>128</v>
      </c>
      <c r="P8" s="32">
        <v>0.15</v>
      </c>
      <c r="Q8" s="18">
        <v>2</v>
      </c>
      <c r="R8" s="38">
        <f t="shared" si="0"/>
        <v>0.3</v>
      </c>
      <c r="S8" s="1"/>
      <c r="T8" s="15" t="s">
        <v>148</v>
      </c>
      <c r="U8" s="16" t="s">
        <v>44</v>
      </c>
      <c r="V8" s="17">
        <v>1.5</v>
      </c>
      <c r="W8" s="18">
        <v>1E-3</v>
      </c>
      <c r="X8" s="11">
        <f t="shared" si="10"/>
        <v>1.5E-3</v>
      </c>
      <c r="Y8" s="1"/>
      <c r="AE8" s="1"/>
      <c r="AF8" s="15" t="s">
        <v>149</v>
      </c>
      <c r="AG8" s="16" t="s">
        <v>11</v>
      </c>
      <c r="AH8" s="17">
        <v>3.38</v>
      </c>
      <c r="AI8" s="18">
        <v>3.0000000000000001E-3</v>
      </c>
      <c r="AJ8" s="11">
        <f t="shared" si="3"/>
        <v>1.014E-2</v>
      </c>
      <c r="AK8" s="1"/>
      <c r="AL8" s="15" t="s">
        <v>150</v>
      </c>
      <c r="AM8" s="16" t="s">
        <v>9</v>
      </c>
      <c r="AN8" s="17">
        <v>1.5</v>
      </c>
      <c r="AO8" s="18">
        <v>1E-3</v>
      </c>
      <c r="AP8" s="11">
        <f t="shared" si="4"/>
        <v>1.5E-3</v>
      </c>
      <c r="AQ8" s="1"/>
      <c r="AR8" s="15" t="s">
        <v>151</v>
      </c>
      <c r="AS8" s="16" t="s">
        <v>9</v>
      </c>
      <c r="AT8" s="17">
        <v>0.4</v>
      </c>
      <c r="AU8" s="18">
        <v>0.01</v>
      </c>
      <c r="AV8" s="11">
        <f t="shared" si="5"/>
        <v>4.0000000000000001E-3</v>
      </c>
      <c r="AW8" s="1"/>
      <c r="AX8" s="15" t="s">
        <v>152</v>
      </c>
      <c r="AY8" s="16" t="s">
        <v>11</v>
      </c>
      <c r="AZ8" s="17">
        <v>3</v>
      </c>
      <c r="BA8" s="18">
        <v>0.1</v>
      </c>
      <c r="BB8" s="11">
        <f t="shared" si="6"/>
        <v>0.30000000000000004</v>
      </c>
      <c r="BC8" s="1"/>
      <c r="BD8" s="15" t="s">
        <v>153</v>
      </c>
      <c r="BE8" s="16" t="s">
        <v>11</v>
      </c>
      <c r="BF8" s="17">
        <v>24</v>
      </c>
      <c r="BG8" s="18">
        <v>0.02</v>
      </c>
      <c r="BH8" s="11">
        <f t="shared" si="7"/>
        <v>0.48</v>
      </c>
      <c r="BI8" s="1"/>
      <c r="BJ8" s="15" t="s">
        <v>153</v>
      </c>
      <c r="BK8" s="16" t="s">
        <v>11</v>
      </c>
      <c r="BL8" s="17">
        <v>24</v>
      </c>
      <c r="BM8" s="18">
        <v>0.02</v>
      </c>
      <c r="BN8" s="11">
        <f t="shared" si="8"/>
        <v>0.48</v>
      </c>
      <c r="BO8" s="1"/>
      <c r="BP8" s="37" t="s">
        <v>19</v>
      </c>
      <c r="BQ8" s="18" t="s">
        <v>128</v>
      </c>
      <c r="BR8" s="32">
        <v>0.15</v>
      </c>
      <c r="BS8" s="18">
        <v>2</v>
      </c>
      <c r="BT8" s="38">
        <f t="shared" si="11"/>
        <v>0.3</v>
      </c>
      <c r="BV8" s="37" t="s">
        <v>302</v>
      </c>
      <c r="BW8" s="18"/>
      <c r="BX8" s="32">
        <v>40</v>
      </c>
      <c r="BY8" s="18">
        <v>0.03</v>
      </c>
      <c r="BZ8" s="38">
        <f t="shared" si="12"/>
        <v>1.2</v>
      </c>
      <c r="CB8" s="37" t="s">
        <v>302</v>
      </c>
      <c r="CC8" s="18"/>
      <c r="CD8" s="32">
        <v>40</v>
      </c>
      <c r="CE8" s="18">
        <v>1.4999999999999999E-2</v>
      </c>
      <c r="CF8" s="38">
        <f t="shared" si="13"/>
        <v>0.6</v>
      </c>
    </row>
    <row r="9" spans="2:84" x14ac:dyDescent="0.3">
      <c r="B9" s="15" t="s">
        <v>154</v>
      </c>
      <c r="C9" s="16" t="s">
        <v>44</v>
      </c>
      <c r="D9" s="17">
        <v>1.5</v>
      </c>
      <c r="E9" s="18">
        <v>2E-3</v>
      </c>
      <c r="F9" s="11">
        <f t="shared" si="1"/>
        <v>3.0000000000000001E-3</v>
      </c>
      <c r="G9" s="1"/>
      <c r="H9" s="15" t="s">
        <v>155</v>
      </c>
      <c r="I9" s="16" t="s">
        <v>11</v>
      </c>
      <c r="J9" s="17">
        <v>1</v>
      </c>
      <c r="K9" s="18">
        <v>5.0000000000000001E-3</v>
      </c>
      <c r="L9" s="11">
        <f t="shared" si="2"/>
        <v>5.0000000000000001E-3</v>
      </c>
      <c r="M9" s="1"/>
      <c r="N9" s="37" t="s">
        <v>154</v>
      </c>
      <c r="O9" s="18" t="s">
        <v>44</v>
      </c>
      <c r="P9" s="32">
        <v>1.5</v>
      </c>
      <c r="Q9" s="18">
        <v>0.05</v>
      </c>
      <c r="R9" s="38">
        <f t="shared" si="0"/>
        <v>7.5000000000000011E-2</v>
      </c>
      <c r="S9" s="1"/>
      <c r="T9" s="15" t="s">
        <v>156</v>
      </c>
      <c r="U9" s="16" t="s">
        <v>44</v>
      </c>
      <c r="V9" s="17">
        <v>1.5</v>
      </c>
      <c r="W9" s="18">
        <v>0.02</v>
      </c>
      <c r="X9" s="11">
        <f t="shared" si="10"/>
        <v>0.03</v>
      </c>
      <c r="Y9" s="1"/>
      <c r="AE9" s="1"/>
      <c r="AF9" s="15" t="s">
        <v>157</v>
      </c>
      <c r="AG9" s="16" t="s">
        <v>11</v>
      </c>
      <c r="AH9" s="17">
        <v>3.83</v>
      </c>
      <c r="AI9" s="18">
        <v>0.01</v>
      </c>
      <c r="AJ9" s="11">
        <f>+AI9*AH7</f>
        <v>8.6999999999999994E-2</v>
      </c>
      <c r="AK9" s="1"/>
      <c r="AL9" s="15" t="s">
        <v>158</v>
      </c>
      <c r="AM9" s="16" t="s">
        <v>9</v>
      </c>
      <c r="AN9" s="17">
        <v>1.5</v>
      </c>
      <c r="AO9" s="18">
        <v>0.02</v>
      </c>
      <c r="AP9" s="11">
        <f t="shared" si="4"/>
        <v>0.03</v>
      </c>
      <c r="AQ9" s="1"/>
      <c r="AR9" s="15" t="s">
        <v>159</v>
      </c>
      <c r="AS9" s="16" t="s">
        <v>9</v>
      </c>
      <c r="AT9" s="17">
        <v>0.4</v>
      </c>
      <c r="AU9" s="18">
        <v>0.01</v>
      </c>
      <c r="AV9" s="11">
        <f t="shared" si="5"/>
        <v>4.0000000000000001E-3</v>
      </c>
      <c r="AW9" s="1"/>
      <c r="AX9" s="15" t="s">
        <v>156</v>
      </c>
      <c r="AY9" s="16" t="s">
        <v>38</v>
      </c>
      <c r="AZ9" s="17">
        <v>1.5</v>
      </c>
      <c r="BA9" s="18">
        <v>0.02</v>
      </c>
      <c r="BB9" s="11">
        <f t="shared" si="6"/>
        <v>0.03</v>
      </c>
      <c r="BC9" s="1"/>
      <c r="BD9" s="15" t="s">
        <v>160</v>
      </c>
      <c r="BE9" s="16" t="s">
        <v>11</v>
      </c>
      <c r="BF9" s="17">
        <v>1</v>
      </c>
      <c r="BG9" s="18">
        <v>0.01</v>
      </c>
      <c r="BH9" s="11">
        <f t="shared" si="7"/>
        <v>0.01</v>
      </c>
      <c r="BI9" s="1"/>
      <c r="BJ9" s="15" t="s">
        <v>160</v>
      </c>
      <c r="BK9" s="16" t="s">
        <v>9</v>
      </c>
      <c r="BL9" s="17">
        <v>1</v>
      </c>
      <c r="BM9" s="18">
        <v>0.1</v>
      </c>
      <c r="BN9" s="11">
        <f t="shared" si="8"/>
        <v>0.1</v>
      </c>
      <c r="BO9" s="1"/>
      <c r="BP9" s="37" t="s">
        <v>256</v>
      </c>
      <c r="BQ9" s="18"/>
      <c r="BR9" s="32">
        <v>10</v>
      </c>
      <c r="BS9" s="18">
        <v>0.1</v>
      </c>
      <c r="BT9" s="38">
        <f t="shared" si="11"/>
        <v>1</v>
      </c>
      <c r="BV9" s="37" t="s">
        <v>354</v>
      </c>
      <c r="BW9" s="18"/>
      <c r="BX9" s="32" t="s">
        <v>128</v>
      </c>
      <c r="BY9" s="18"/>
      <c r="BZ9" s="38">
        <v>0.3</v>
      </c>
      <c r="CB9" s="37" t="s">
        <v>354</v>
      </c>
      <c r="CC9" s="18"/>
      <c r="CD9" s="32" t="s">
        <v>128</v>
      </c>
      <c r="CE9" s="18"/>
      <c r="CF9" s="38">
        <v>0.3</v>
      </c>
    </row>
    <row r="10" spans="2:84" x14ac:dyDescent="0.3">
      <c r="B10" s="15" t="s">
        <v>24</v>
      </c>
      <c r="C10" s="16" t="s">
        <v>11</v>
      </c>
      <c r="D10" s="17">
        <v>0.02</v>
      </c>
      <c r="E10" s="18">
        <v>1E-3</v>
      </c>
      <c r="F10" s="11">
        <f t="shared" si="1"/>
        <v>2.0000000000000002E-5</v>
      </c>
      <c r="G10" s="1"/>
      <c r="H10" s="15" t="s">
        <v>161</v>
      </c>
      <c r="I10" s="16" t="s">
        <v>11</v>
      </c>
      <c r="J10" s="17">
        <v>1</v>
      </c>
      <c r="K10" s="18">
        <v>2E-3</v>
      </c>
      <c r="L10" s="11">
        <f t="shared" si="2"/>
        <v>2E-3</v>
      </c>
      <c r="M10" s="1"/>
      <c r="N10" s="37" t="s">
        <v>162</v>
      </c>
      <c r="O10" s="18" t="s">
        <v>44</v>
      </c>
      <c r="P10" s="18">
        <v>6.52</v>
      </c>
      <c r="Q10" s="18">
        <v>0.02</v>
      </c>
      <c r="R10" s="38">
        <f t="shared" si="0"/>
        <v>0.13039999999999999</v>
      </c>
      <c r="S10" s="1"/>
      <c r="T10" s="15" t="s">
        <v>163</v>
      </c>
      <c r="U10" s="16" t="s">
        <v>164</v>
      </c>
      <c r="V10" s="17">
        <v>0.53</v>
      </c>
      <c r="W10" s="18">
        <v>1</v>
      </c>
      <c r="X10" s="11">
        <f t="shared" si="10"/>
        <v>0.53</v>
      </c>
      <c r="Y10" s="1"/>
      <c r="AE10" s="1"/>
      <c r="AF10" s="15" t="s">
        <v>165</v>
      </c>
      <c r="AG10" s="16" t="s">
        <v>11</v>
      </c>
      <c r="AH10" s="17">
        <v>1</v>
      </c>
      <c r="AI10" s="18">
        <v>0.02</v>
      </c>
      <c r="AJ10" s="11">
        <f t="shared" si="3"/>
        <v>0.02</v>
      </c>
      <c r="AK10" s="1"/>
      <c r="AL10" s="15" t="s">
        <v>165</v>
      </c>
      <c r="AM10" s="16" t="s">
        <v>9</v>
      </c>
      <c r="AN10" s="17">
        <v>1</v>
      </c>
      <c r="AO10" s="18">
        <v>0.02</v>
      </c>
      <c r="AP10" s="11">
        <f t="shared" si="4"/>
        <v>0.02</v>
      </c>
      <c r="AQ10" s="1"/>
      <c r="AR10" s="15" t="s">
        <v>154</v>
      </c>
      <c r="AS10" s="16" t="s">
        <v>38</v>
      </c>
      <c r="AT10" s="17">
        <v>1.5</v>
      </c>
      <c r="AU10" s="18">
        <v>0.02</v>
      </c>
      <c r="AV10" s="11">
        <f t="shared" si="5"/>
        <v>0.03</v>
      </c>
      <c r="AW10" s="1"/>
      <c r="AX10" s="15" t="s">
        <v>166</v>
      </c>
      <c r="AY10" s="16"/>
      <c r="AZ10" s="17">
        <v>0.02</v>
      </c>
      <c r="BA10" s="18">
        <v>2E-3</v>
      </c>
      <c r="BB10" s="11">
        <f t="shared" si="6"/>
        <v>4.0000000000000003E-5</v>
      </c>
      <c r="BC10" s="1"/>
      <c r="BD10" s="15" t="s">
        <v>162</v>
      </c>
      <c r="BE10" s="16" t="s">
        <v>38</v>
      </c>
      <c r="BF10" s="17">
        <v>6.52</v>
      </c>
      <c r="BG10" s="18">
        <v>0.02</v>
      </c>
      <c r="BH10" s="11">
        <f t="shared" si="7"/>
        <v>0.13039999999999999</v>
      </c>
      <c r="BI10" s="1"/>
      <c r="BJ10" s="15" t="s">
        <v>8</v>
      </c>
      <c r="BK10" s="16" t="s">
        <v>11</v>
      </c>
      <c r="BL10" s="17">
        <v>8.6999999999999993</v>
      </c>
      <c r="BM10" s="18">
        <v>0.02</v>
      </c>
      <c r="BN10" s="11">
        <f t="shared" si="8"/>
        <v>0.17399999999999999</v>
      </c>
      <c r="BO10" s="1"/>
      <c r="BP10" s="37" t="s">
        <v>168</v>
      </c>
      <c r="BQ10" s="18" t="s">
        <v>11</v>
      </c>
      <c r="BR10" s="18">
        <v>2.6</v>
      </c>
      <c r="BS10" s="18">
        <v>0.01</v>
      </c>
      <c r="BT10" s="38">
        <f t="shared" si="11"/>
        <v>2.6000000000000002E-2</v>
      </c>
      <c r="BV10" s="37" t="s">
        <v>10</v>
      </c>
      <c r="BW10" s="18"/>
      <c r="BX10" s="32">
        <v>8.6999999999999993</v>
      </c>
      <c r="BY10" s="18">
        <v>0.03</v>
      </c>
      <c r="BZ10" s="38">
        <v>0.3</v>
      </c>
      <c r="CB10" s="37" t="s">
        <v>10</v>
      </c>
      <c r="CC10" s="18"/>
      <c r="CD10" s="32">
        <v>8.6999999999999993</v>
      </c>
      <c r="CE10" s="18">
        <v>0.06</v>
      </c>
      <c r="CF10" s="38">
        <f t="shared" si="13"/>
        <v>0.52199999999999991</v>
      </c>
    </row>
    <row r="11" spans="2:84" x14ac:dyDescent="0.3">
      <c r="B11" s="15" t="s">
        <v>167</v>
      </c>
      <c r="C11" s="16" t="s">
        <v>11</v>
      </c>
      <c r="D11" s="17">
        <v>11</v>
      </c>
      <c r="E11" s="18">
        <v>2E-3</v>
      </c>
      <c r="F11" s="11">
        <f t="shared" si="1"/>
        <v>2.1999999999999999E-2</v>
      </c>
      <c r="G11" s="1"/>
      <c r="H11" s="15" t="s">
        <v>140</v>
      </c>
      <c r="I11" s="16" t="s">
        <v>11</v>
      </c>
      <c r="J11" s="17">
        <v>6</v>
      </c>
      <c r="K11" s="18">
        <v>2E-3</v>
      </c>
      <c r="L11" s="11">
        <f t="shared" si="2"/>
        <v>1.2E-2</v>
      </c>
      <c r="M11" s="1"/>
      <c r="N11" s="37" t="s">
        <v>168</v>
      </c>
      <c r="O11" s="18" t="s">
        <v>11</v>
      </c>
      <c r="P11" s="18">
        <v>2.6</v>
      </c>
      <c r="Q11" s="18">
        <v>5.0000000000000001E-3</v>
      </c>
      <c r="R11" s="38">
        <f t="shared" si="0"/>
        <v>1.3000000000000001E-2</v>
      </c>
      <c r="S11" s="1"/>
      <c r="T11" s="15"/>
      <c r="U11" s="16"/>
      <c r="V11" s="17"/>
      <c r="W11" s="18"/>
      <c r="X11" s="11">
        <f t="shared" si="10"/>
        <v>0</v>
      </c>
      <c r="Y11" s="1"/>
      <c r="AE11" s="1"/>
      <c r="AF11" s="15" t="s">
        <v>170</v>
      </c>
      <c r="AG11" s="16" t="s">
        <v>11</v>
      </c>
      <c r="AH11" s="17">
        <v>1.8</v>
      </c>
      <c r="AI11" s="18">
        <v>0.25</v>
      </c>
      <c r="AJ11" s="11">
        <f t="shared" si="3"/>
        <v>0.45</v>
      </c>
      <c r="AK11" s="1"/>
      <c r="AL11" s="15" t="s">
        <v>171</v>
      </c>
      <c r="AM11" s="16" t="s">
        <v>9</v>
      </c>
      <c r="AN11" s="17">
        <v>2</v>
      </c>
      <c r="AO11" s="18">
        <v>3.0000000000000001E-3</v>
      </c>
      <c r="AP11" s="11">
        <f t="shared" si="4"/>
        <v>6.0000000000000001E-3</v>
      </c>
      <c r="AQ11" s="1"/>
      <c r="AR11" s="15" t="s">
        <v>167</v>
      </c>
      <c r="AS11" s="16" t="s">
        <v>9</v>
      </c>
      <c r="AT11" s="17">
        <v>11</v>
      </c>
      <c r="AU11" s="18">
        <v>2E-3</v>
      </c>
      <c r="AV11" s="11">
        <f t="shared" si="5"/>
        <v>2.1999999999999999E-2</v>
      </c>
      <c r="AW11" s="1"/>
      <c r="AX11" s="15" t="s">
        <v>140</v>
      </c>
      <c r="AY11" s="16" t="s">
        <v>11</v>
      </c>
      <c r="AZ11" s="17">
        <v>6</v>
      </c>
      <c r="BA11" s="18">
        <v>2E-3</v>
      </c>
      <c r="BB11" s="11">
        <f t="shared" si="6"/>
        <v>1.2E-2</v>
      </c>
      <c r="BC11" s="1"/>
      <c r="BD11" s="15" t="s">
        <v>140</v>
      </c>
      <c r="BE11" s="16" t="s">
        <v>11</v>
      </c>
      <c r="BF11" s="17">
        <v>6</v>
      </c>
      <c r="BG11" s="18">
        <v>5.0000000000000001E-3</v>
      </c>
      <c r="BH11" s="11">
        <f t="shared" si="7"/>
        <v>0.03</v>
      </c>
      <c r="BI11" s="1"/>
      <c r="BJ11" s="15" t="s">
        <v>24</v>
      </c>
      <c r="BK11" s="16"/>
      <c r="BL11" s="17">
        <v>0.02</v>
      </c>
      <c r="BM11" s="18">
        <v>5.0000000000000001E-3</v>
      </c>
      <c r="BN11" s="11">
        <f t="shared" si="8"/>
        <v>1E-4</v>
      </c>
      <c r="BO11" s="1"/>
      <c r="BP11" s="42"/>
      <c r="BQ11" s="14"/>
      <c r="BR11" s="14"/>
      <c r="BS11" s="14"/>
      <c r="BT11" s="43"/>
      <c r="BV11" s="37"/>
      <c r="BW11" s="18"/>
      <c r="BX11" s="32"/>
      <c r="BY11" s="18"/>
      <c r="BZ11" s="38"/>
      <c r="CB11" s="37" t="s">
        <v>144</v>
      </c>
      <c r="CC11" s="18"/>
      <c r="CD11" s="32">
        <v>11</v>
      </c>
      <c r="CE11" s="18">
        <v>0.2</v>
      </c>
      <c r="CF11" s="38">
        <f t="shared" si="13"/>
        <v>2.2000000000000002</v>
      </c>
    </row>
    <row r="12" spans="2:84" x14ac:dyDescent="0.3">
      <c r="B12" s="19" t="s">
        <v>172</v>
      </c>
      <c r="C12" s="20" t="s">
        <v>11</v>
      </c>
      <c r="D12" s="20">
        <v>12.5</v>
      </c>
      <c r="E12" s="21">
        <v>7.2999999999999995E-2</v>
      </c>
      <c r="F12" s="11">
        <f t="shared" si="1"/>
        <v>0.91249999999999998</v>
      </c>
      <c r="G12" s="1"/>
      <c r="H12" s="19" t="s">
        <v>173</v>
      </c>
      <c r="I12" s="20" t="s">
        <v>11</v>
      </c>
      <c r="J12" s="20">
        <v>3</v>
      </c>
      <c r="K12" s="21">
        <v>5.0000000000000001E-3</v>
      </c>
      <c r="L12" s="11">
        <f t="shared" si="2"/>
        <v>1.4999999999999999E-2</v>
      </c>
      <c r="M12" s="1"/>
      <c r="N12" s="37"/>
      <c r="O12" s="18"/>
      <c r="P12" s="18"/>
      <c r="Q12" s="18"/>
      <c r="R12" s="38"/>
      <c r="S12" s="1"/>
      <c r="T12" s="19"/>
      <c r="U12" s="20"/>
      <c r="V12" s="20"/>
      <c r="W12" s="21"/>
      <c r="X12" s="11">
        <f t="shared" si="10"/>
        <v>0</v>
      </c>
      <c r="Y12" s="1"/>
      <c r="AE12" s="1"/>
      <c r="AF12" s="19" t="s">
        <v>154</v>
      </c>
      <c r="AG12" s="20" t="s">
        <v>44</v>
      </c>
      <c r="AH12" s="20">
        <v>1.5</v>
      </c>
      <c r="AI12" s="21">
        <v>0.01</v>
      </c>
      <c r="AJ12" s="11">
        <f t="shared" si="3"/>
        <v>1.4999999999999999E-2</v>
      </c>
      <c r="AK12" s="1"/>
      <c r="AL12" s="19" t="s">
        <v>174</v>
      </c>
      <c r="AM12" s="20" t="s">
        <v>9</v>
      </c>
      <c r="AN12" s="20">
        <v>3</v>
      </c>
      <c r="AO12" s="21">
        <v>3.0000000000000001E-3</v>
      </c>
      <c r="AP12" s="11">
        <f t="shared" si="4"/>
        <v>9.0000000000000011E-3</v>
      </c>
      <c r="AQ12" s="1"/>
      <c r="AR12" s="19" t="s">
        <v>166</v>
      </c>
      <c r="AS12" s="20" t="s">
        <v>9</v>
      </c>
      <c r="AT12" s="20">
        <v>0.02</v>
      </c>
      <c r="AU12" s="21">
        <v>2E-3</v>
      </c>
      <c r="AV12" s="11">
        <f t="shared" si="5"/>
        <v>4.0000000000000003E-5</v>
      </c>
      <c r="AW12" s="1"/>
      <c r="AX12" s="19" t="s">
        <v>167</v>
      </c>
      <c r="AY12" s="20" t="s">
        <v>11</v>
      </c>
      <c r="AZ12" s="20">
        <v>11</v>
      </c>
      <c r="BA12" s="21">
        <v>2E-3</v>
      </c>
      <c r="BB12" s="11">
        <f t="shared" si="6"/>
        <v>2.1999999999999999E-2</v>
      </c>
      <c r="BC12" s="1"/>
      <c r="BD12" s="19" t="s">
        <v>45</v>
      </c>
      <c r="BE12" s="20" t="s">
        <v>11</v>
      </c>
      <c r="BF12" s="20">
        <v>1</v>
      </c>
      <c r="BG12" s="21">
        <v>0.02</v>
      </c>
      <c r="BH12" s="11">
        <f t="shared" si="7"/>
        <v>0.02</v>
      </c>
      <c r="BI12" s="1"/>
      <c r="BJ12" s="19"/>
      <c r="BK12" s="20"/>
      <c r="BL12" s="20"/>
      <c r="BM12" s="21"/>
      <c r="BN12" s="11">
        <f t="shared" si="8"/>
        <v>0</v>
      </c>
      <c r="BO12" s="1"/>
      <c r="BP12" s="37"/>
      <c r="BQ12" s="18"/>
      <c r="BR12" s="18"/>
      <c r="BS12" s="18"/>
      <c r="BT12" s="38">
        <f t="shared" si="9"/>
        <v>0</v>
      </c>
      <c r="BV12" s="37"/>
      <c r="BW12" s="18"/>
      <c r="BX12" s="18"/>
      <c r="BY12" s="18"/>
      <c r="BZ12" s="38"/>
      <c r="CB12" s="37" t="s">
        <v>418</v>
      </c>
      <c r="CC12" s="18"/>
      <c r="CD12" s="18">
        <v>15</v>
      </c>
      <c r="CE12" s="18">
        <v>1E-3</v>
      </c>
      <c r="CF12" s="38">
        <f t="shared" si="13"/>
        <v>1.4999999999999999E-2</v>
      </c>
    </row>
    <row r="13" spans="2:84" x14ac:dyDescent="0.3">
      <c r="B13" s="19" t="s">
        <v>175</v>
      </c>
      <c r="C13" s="20" t="s">
        <v>11</v>
      </c>
      <c r="D13" s="20">
        <v>18</v>
      </c>
      <c r="E13" s="21">
        <v>0.05</v>
      </c>
      <c r="F13" s="11">
        <f t="shared" si="1"/>
        <v>0.9</v>
      </c>
      <c r="G13" s="1"/>
      <c r="H13" s="19" t="s">
        <v>154</v>
      </c>
      <c r="I13" s="20" t="s">
        <v>44</v>
      </c>
      <c r="J13" s="20">
        <v>1.5</v>
      </c>
      <c r="K13" s="21">
        <v>0.02</v>
      </c>
      <c r="L13" s="11">
        <f t="shared" si="2"/>
        <v>0.03</v>
      </c>
      <c r="M13" s="1"/>
      <c r="N13" s="37"/>
      <c r="O13" s="18"/>
      <c r="P13" s="18"/>
      <c r="Q13" s="18"/>
      <c r="R13" s="38"/>
      <c r="S13" s="1"/>
      <c r="T13" s="19"/>
      <c r="U13" s="20"/>
      <c r="V13" s="20"/>
      <c r="W13" s="21"/>
      <c r="X13" s="11">
        <f t="shared" si="10"/>
        <v>0</v>
      </c>
      <c r="Y13" s="1"/>
      <c r="AE13" s="1"/>
      <c r="AF13" s="19" t="s">
        <v>8</v>
      </c>
      <c r="AG13" s="20" t="s">
        <v>11</v>
      </c>
      <c r="AH13" s="20">
        <v>8.6999999999999993</v>
      </c>
      <c r="AI13" s="21">
        <v>0.03</v>
      </c>
      <c r="AJ13" s="11">
        <f t="shared" si="3"/>
        <v>0.26099999999999995</v>
      </c>
      <c r="AK13" s="1"/>
      <c r="AL13" s="19" t="s">
        <v>176</v>
      </c>
      <c r="AM13" s="20" t="s">
        <v>9</v>
      </c>
      <c r="AN13" s="20">
        <v>3</v>
      </c>
      <c r="AO13" s="21">
        <v>3.0000000000000001E-3</v>
      </c>
      <c r="AP13" s="11">
        <f t="shared" si="4"/>
        <v>9.0000000000000011E-3</v>
      </c>
      <c r="AQ13" s="1"/>
      <c r="AR13" s="19" t="s">
        <v>152</v>
      </c>
      <c r="AS13" s="20" t="s">
        <v>9</v>
      </c>
      <c r="AT13" s="20">
        <v>3</v>
      </c>
      <c r="AU13" s="21">
        <v>0.15</v>
      </c>
      <c r="AV13" s="11">
        <f t="shared" si="5"/>
        <v>0.44999999999999996</v>
      </c>
      <c r="AW13" s="1"/>
      <c r="AX13" s="19" t="s">
        <v>133</v>
      </c>
      <c r="AY13" s="20" t="s">
        <v>11</v>
      </c>
      <c r="AZ13" s="20">
        <v>11</v>
      </c>
      <c r="BA13" s="21">
        <v>0.05</v>
      </c>
      <c r="BB13" s="11">
        <f t="shared" si="6"/>
        <v>0.55000000000000004</v>
      </c>
      <c r="BC13" s="1"/>
      <c r="BD13" s="19" t="s">
        <v>154</v>
      </c>
      <c r="BE13" s="20" t="s">
        <v>38</v>
      </c>
      <c r="BF13" s="20">
        <v>1.5</v>
      </c>
      <c r="BG13" s="21">
        <v>1.4999999999999999E-2</v>
      </c>
      <c r="BH13" s="11">
        <f t="shared" si="7"/>
        <v>2.2499999999999999E-2</v>
      </c>
      <c r="BI13" s="1"/>
      <c r="BJ13" s="19"/>
      <c r="BK13" s="20"/>
      <c r="BL13" s="20"/>
      <c r="BM13" s="21"/>
      <c r="BN13" s="11">
        <f t="shared" si="8"/>
        <v>0</v>
      </c>
      <c r="BO13" s="1"/>
      <c r="BP13" s="42"/>
      <c r="BQ13" s="14"/>
      <c r="BR13" s="14"/>
      <c r="BS13" s="14"/>
      <c r="BT13" s="43"/>
      <c r="BV13" s="37"/>
      <c r="BW13" s="18"/>
      <c r="BX13" s="18"/>
      <c r="BY13" s="18"/>
      <c r="BZ13" s="38"/>
      <c r="CB13" s="37"/>
      <c r="CC13" s="18"/>
      <c r="CD13" s="18"/>
      <c r="CE13" s="18"/>
      <c r="CF13" s="38"/>
    </row>
    <row r="14" spans="2:84" x14ac:dyDescent="0.3">
      <c r="B14" s="19"/>
      <c r="C14" s="20"/>
      <c r="D14" s="20"/>
      <c r="E14" s="21"/>
      <c r="F14" s="11">
        <f t="shared" si="1"/>
        <v>0</v>
      </c>
      <c r="G14" s="1"/>
      <c r="H14" s="19" t="s">
        <v>24</v>
      </c>
      <c r="I14" s="20" t="s">
        <v>11</v>
      </c>
      <c r="J14" s="20">
        <v>0.02</v>
      </c>
      <c r="K14" s="21">
        <v>2E-3</v>
      </c>
      <c r="L14" s="11">
        <f t="shared" si="2"/>
        <v>4.0000000000000003E-5</v>
      </c>
      <c r="M14" s="1"/>
      <c r="N14" s="37"/>
      <c r="O14" s="18"/>
      <c r="P14" s="18"/>
      <c r="Q14" s="18"/>
      <c r="R14" s="38"/>
      <c r="S14" s="1"/>
      <c r="T14" s="19"/>
      <c r="U14" s="20"/>
      <c r="V14" s="20"/>
      <c r="W14" s="21"/>
      <c r="X14" s="11">
        <f t="shared" si="10"/>
        <v>0</v>
      </c>
      <c r="Y14" s="1"/>
      <c r="AE14" s="1"/>
      <c r="AF14" s="19" t="s">
        <v>178</v>
      </c>
      <c r="AG14" s="20" t="s">
        <v>44</v>
      </c>
      <c r="AH14" s="20">
        <v>6.52</v>
      </c>
      <c r="AI14" s="21">
        <v>0.01</v>
      </c>
      <c r="AJ14" s="11">
        <f t="shared" si="3"/>
        <v>6.5199999999999994E-2</v>
      </c>
      <c r="AK14" s="1"/>
      <c r="AL14" s="19" t="s">
        <v>179</v>
      </c>
      <c r="AM14" s="20" t="s">
        <v>9</v>
      </c>
      <c r="AN14" s="20">
        <v>2.1</v>
      </c>
      <c r="AO14" s="21">
        <v>3.0000000000000001E-3</v>
      </c>
      <c r="AP14" s="11">
        <f t="shared" si="4"/>
        <v>6.3E-3</v>
      </c>
      <c r="AQ14" s="1"/>
      <c r="AR14" s="19" t="s">
        <v>180</v>
      </c>
      <c r="AS14" s="20" t="s">
        <v>38</v>
      </c>
      <c r="AT14" s="20">
        <v>5.84</v>
      </c>
      <c r="AU14" s="21">
        <v>2E-3</v>
      </c>
      <c r="AV14" s="11">
        <f t="shared" si="5"/>
        <v>1.1679999999999999E-2</v>
      </c>
      <c r="AW14" s="1"/>
      <c r="AX14" s="19" t="s">
        <v>181</v>
      </c>
      <c r="AY14" s="20" t="s">
        <v>38</v>
      </c>
      <c r="AZ14" s="20">
        <v>9.1999999999999993</v>
      </c>
      <c r="BA14" s="21">
        <v>0.03</v>
      </c>
      <c r="BB14" s="11">
        <f t="shared" si="6"/>
        <v>0.27599999999999997</v>
      </c>
      <c r="BC14" s="1"/>
      <c r="BD14" s="19" t="s">
        <v>166</v>
      </c>
      <c r="BE14" s="20" t="s">
        <v>11</v>
      </c>
      <c r="BF14" s="20">
        <v>0.02</v>
      </c>
      <c r="BG14" s="21">
        <v>2E-3</v>
      </c>
      <c r="BH14" s="11">
        <f t="shared" si="7"/>
        <v>4.0000000000000003E-5</v>
      </c>
      <c r="BI14" s="1"/>
      <c r="BJ14" s="19"/>
      <c r="BK14" s="20"/>
      <c r="BL14" s="20"/>
      <c r="BM14" s="21"/>
      <c r="BN14" s="11">
        <f t="shared" si="8"/>
        <v>0</v>
      </c>
      <c r="BO14" s="1"/>
      <c r="BP14" s="37"/>
      <c r="BQ14" s="18"/>
      <c r="BR14" s="18"/>
      <c r="BS14" s="18"/>
      <c r="BT14" s="38">
        <f t="shared" ref="BT14:BT18" si="14">+BS14*BR14</f>
        <v>0</v>
      </c>
      <c r="BV14" s="19"/>
      <c r="BW14" s="20"/>
      <c r="BX14" s="20"/>
      <c r="BY14" s="21"/>
      <c r="BZ14" s="11"/>
      <c r="CB14" s="19"/>
      <c r="CC14" s="20"/>
      <c r="CD14" s="20"/>
      <c r="CE14" s="21"/>
      <c r="CF14" s="11"/>
    </row>
    <row r="15" spans="2:84" x14ac:dyDescent="0.3">
      <c r="B15" s="19"/>
      <c r="C15" s="20"/>
      <c r="D15" s="20"/>
      <c r="E15" s="21"/>
      <c r="F15" s="11">
        <f t="shared" si="1"/>
        <v>0</v>
      </c>
      <c r="G15" s="1"/>
      <c r="H15" s="19" t="s">
        <v>182</v>
      </c>
      <c r="I15" s="20" t="s">
        <v>11</v>
      </c>
      <c r="J15" s="20">
        <v>11</v>
      </c>
      <c r="K15" s="21">
        <v>2E-3</v>
      </c>
      <c r="L15" s="11">
        <f t="shared" si="2"/>
        <v>2.1999999999999999E-2</v>
      </c>
      <c r="M15" s="1"/>
      <c r="N15" s="19"/>
      <c r="O15" s="20"/>
      <c r="P15" s="20"/>
      <c r="Q15" s="21"/>
      <c r="R15" s="11"/>
      <c r="S15" s="1"/>
      <c r="T15" s="19"/>
      <c r="U15" s="20"/>
      <c r="V15" s="20"/>
      <c r="W15" s="21"/>
      <c r="X15" s="11">
        <f t="shared" si="10"/>
        <v>0</v>
      </c>
      <c r="Y15" s="1"/>
      <c r="AE15" s="1"/>
      <c r="AF15" s="19" t="s">
        <v>91</v>
      </c>
      <c r="AG15" s="20" t="s">
        <v>128</v>
      </c>
      <c r="AH15" s="20">
        <v>0.15</v>
      </c>
      <c r="AI15" s="21">
        <v>1</v>
      </c>
      <c r="AJ15" s="11">
        <f t="shared" si="3"/>
        <v>0.15</v>
      </c>
      <c r="AK15" s="1"/>
      <c r="AL15" s="19" t="s">
        <v>154</v>
      </c>
      <c r="AM15" s="20" t="s">
        <v>38</v>
      </c>
      <c r="AN15" s="20">
        <v>1.5</v>
      </c>
      <c r="AO15" s="21">
        <v>0.01</v>
      </c>
      <c r="AP15" s="11">
        <f t="shared" si="4"/>
        <v>1.4999999999999999E-2</v>
      </c>
      <c r="AQ15" s="1"/>
      <c r="AR15" s="19" t="s">
        <v>220</v>
      </c>
      <c r="AS15" s="20" t="s">
        <v>38</v>
      </c>
      <c r="AT15" s="20">
        <v>9.1999999999999993</v>
      </c>
      <c r="AU15" s="21">
        <v>0</v>
      </c>
      <c r="AV15" s="11">
        <f t="shared" si="5"/>
        <v>0</v>
      </c>
      <c r="AW15" s="1"/>
      <c r="AX15" s="19" t="s">
        <v>10</v>
      </c>
      <c r="AY15" s="20" t="s">
        <v>11</v>
      </c>
      <c r="AZ15" s="20">
        <v>8.6999999999999993</v>
      </c>
      <c r="BA15" s="21">
        <v>0.03</v>
      </c>
      <c r="BB15" s="11">
        <f t="shared" si="6"/>
        <v>0.26099999999999995</v>
      </c>
      <c r="BC15" s="1"/>
      <c r="BD15" s="19" t="s">
        <v>182</v>
      </c>
      <c r="BE15" s="20" t="s">
        <v>11</v>
      </c>
      <c r="BF15" s="20">
        <v>11</v>
      </c>
      <c r="BG15" s="21">
        <v>0</v>
      </c>
      <c r="BH15" s="11">
        <f t="shared" si="7"/>
        <v>0</v>
      </c>
      <c r="BI15" s="1"/>
      <c r="BJ15" s="19"/>
      <c r="BK15" s="20"/>
      <c r="BL15" s="20"/>
      <c r="BM15" s="21"/>
      <c r="BN15" s="11">
        <f t="shared" si="8"/>
        <v>0</v>
      </c>
      <c r="BO15" s="1"/>
      <c r="BP15" s="37"/>
      <c r="BQ15" s="18"/>
      <c r="BR15" s="18"/>
      <c r="BS15" s="18"/>
      <c r="BT15" s="38">
        <f t="shared" si="14"/>
        <v>0</v>
      </c>
      <c r="BV15" s="19"/>
      <c r="BW15" s="20"/>
      <c r="BX15" s="20"/>
      <c r="BY15" s="21"/>
      <c r="BZ15" s="11">
        <f t="shared" si="12"/>
        <v>0</v>
      </c>
      <c r="CB15" s="19"/>
      <c r="CC15" s="20"/>
      <c r="CD15" s="20"/>
      <c r="CE15" s="21"/>
      <c r="CF15" s="11">
        <f t="shared" ref="CF15:CF18" si="15">+CE15*CD15</f>
        <v>0</v>
      </c>
    </row>
    <row r="16" spans="2:84" x14ac:dyDescent="0.3">
      <c r="B16" s="19"/>
      <c r="C16" s="20"/>
      <c r="D16" s="20"/>
      <c r="E16" s="21"/>
      <c r="F16" s="11">
        <f t="shared" si="1"/>
        <v>0</v>
      </c>
      <c r="G16" s="1"/>
      <c r="H16" s="19" t="s">
        <v>10</v>
      </c>
      <c r="I16" s="20" t="s">
        <v>11</v>
      </c>
      <c r="J16" s="20">
        <v>8.6999999999999993</v>
      </c>
      <c r="K16" s="21">
        <v>0.02</v>
      </c>
      <c r="L16" s="11">
        <f t="shared" si="2"/>
        <v>0.17399999999999999</v>
      </c>
      <c r="M16" s="1"/>
      <c r="N16" s="19"/>
      <c r="O16" s="20"/>
      <c r="P16" s="20"/>
      <c r="Q16" s="21"/>
      <c r="R16" s="11"/>
      <c r="S16" s="1"/>
      <c r="T16" s="19"/>
      <c r="U16" s="20"/>
      <c r="V16" s="20"/>
      <c r="W16" s="21"/>
      <c r="X16" s="11">
        <f t="shared" si="10"/>
        <v>0</v>
      </c>
      <c r="Y16" s="1"/>
      <c r="AE16" s="1"/>
      <c r="AF16" s="19"/>
      <c r="AG16" s="20"/>
      <c r="AH16" s="20"/>
      <c r="AI16" s="21"/>
      <c r="AJ16" s="11">
        <f t="shared" si="3"/>
        <v>0</v>
      </c>
      <c r="AK16" s="1"/>
      <c r="AL16" s="19" t="s">
        <v>183</v>
      </c>
      <c r="AM16" s="20" t="s">
        <v>9</v>
      </c>
      <c r="AN16" s="20">
        <v>6</v>
      </c>
      <c r="AO16" s="21">
        <v>2E-3</v>
      </c>
      <c r="AP16" s="11">
        <f t="shared" si="4"/>
        <v>1.2E-2</v>
      </c>
      <c r="AQ16" s="1"/>
      <c r="AR16" s="19"/>
      <c r="AS16" s="20"/>
      <c r="AT16" s="20"/>
      <c r="AU16" s="21"/>
      <c r="AV16" s="11">
        <f t="shared" si="5"/>
        <v>0</v>
      </c>
      <c r="AW16" s="1"/>
      <c r="AX16" s="19" t="s">
        <v>180</v>
      </c>
      <c r="AY16" s="20" t="s">
        <v>38</v>
      </c>
      <c r="AZ16" s="20">
        <v>5.84</v>
      </c>
      <c r="BA16" s="21">
        <v>2E-3</v>
      </c>
      <c r="BB16" s="11">
        <f t="shared" si="6"/>
        <v>1.1679999999999999E-2</v>
      </c>
      <c r="BC16" s="1"/>
      <c r="BD16" s="19" t="s">
        <v>8</v>
      </c>
      <c r="BE16" s="20" t="s">
        <v>11</v>
      </c>
      <c r="BF16" s="20">
        <v>8.6999999999999993</v>
      </c>
      <c r="BG16" s="21">
        <v>0.06</v>
      </c>
      <c r="BH16" s="11">
        <f t="shared" si="7"/>
        <v>0.52199999999999991</v>
      </c>
      <c r="BI16" s="1"/>
      <c r="BJ16" s="19"/>
      <c r="BK16" s="20"/>
      <c r="BL16" s="20"/>
      <c r="BM16" s="21"/>
      <c r="BN16" s="11">
        <f t="shared" si="8"/>
        <v>0</v>
      </c>
      <c r="BO16" s="1"/>
      <c r="BP16" s="37"/>
      <c r="BQ16" s="18"/>
      <c r="BR16" s="18"/>
      <c r="BS16" s="18"/>
      <c r="BT16" s="38">
        <f t="shared" si="14"/>
        <v>0</v>
      </c>
      <c r="BV16" s="19"/>
      <c r="BW16" s="20"/>
      <c r="BX16" s="20"/>
      <c r="BY16" s="21"/>
      <c r="BZ16" s="11">
        <f t="shared" si="12"/>
        <v>0</v>
      </c>
      <c r="CB16" s="19"/>
      <c r="CC16" s="20"/>
      <c r="CD16" s="20"/>
      <c r="CE16" s="21"/>
      <c r="CF16" s="11">
        <f t="shared" si="15"/>
        <v>0</v>
      </c>
    </row>
    <row r="17" spans="2:84" x14ac:dyDescent="0.3">
      <c r="B17" s="19"/>
      <c r="C17" s="20"/>
      <c r="D17" s="20"/>
      <c r="E17" s="21"/>
      <c r="F17" s="11">
        <f t="shared" si="1"/>
        <v>0</v>
      </c>
      <c r="G17" s="1"/>
      <c r="H17" s="19"/>
      <c r="I17" s="20"/>
      <c r="J17" s="20"/>
      <c r="K17" s="21"/>
      <c r="L17" s="11"/>
      <c r="M17" s="1"/>
      <c r="N17" s="19"/>
      <c r="O17" s="20"/>
      <c r="P17" s="20"/>
      <c r="Q17" s="21"/>
      <c r="R17" s="11"/>
      <c r="S17" s="1"/>
      <c r="T17" s="19"/>
      <c r="U17" s="20"/>
      <c r="V17" s="20"/>
      <c r="W17" s="21"/>
      <c r="X17" s="11">
        <f t="shared" si="10"/>
        <v>0</v>
      </c>
      <c r="Y17" s="1"/>
      <c r="AE17" s="1"/>
      <c r="AF17" s="19"/>
      <c r="AG17" s="20"/>
      <c r="AH17" s="20"/>
      <c r="AI17" s="21"/>
      <c r="AJ17" s="11">
        <f t="shared" si="3"/>
        <v>0</v>
      </c>
      <c r="AK17" s="1"/>
      <c r="AL17" s="19" t="s">
        <v>167</v>
      </c>
      <c r="AM17" s="20" t="s">
        <v>9</v>
      </c>
      <c r="AN17" s="20">
        <v>11</v>
      </c>
      <c r="AO17" s="21">
        <v>2E-3</v>
      </c>
      <c r="AP17" s="11">
        <f t="shared" si="4"/>
        <v>2.1999999999999999E-2</v>
      </c>
      <c r="AQ17" s="1"/>
      <c r="AR17" s="19"/>
      <c r="AS17" s="20"/>
      <c r="AT17" s="20"/>
      <c r="AU17" s="21"/>
      <c r="AV17" s="11">
        <f t="shared" si="5"/>
        <v>0</v>
      </c>
      <c r="AW17" s="1"/>
      <c r="AX17" s="19" t="s">
        <v>170</v>
      </c>
      <c r="AY17" s="20" t="s">
        <v>11</v>
      </c>
      <c r="AZ17" s="20">
        <v>1.8</v>
      </c>
      <c r="BA17" s="21">
        <v>0.25</v>
      </c>
      <c r="BB17" s="11">
        <f t="shared" si="6"/>
        <v>0.45</v>
      </c>
      <c r="BC17" s="1"/>
      <c r="BD17" s="19" t="s">
        <v>170</v>
      </c>
      <c r="BE17" s="20" t="s">
        <v>11</v>
      </c>
      <c r="BF17" s="20">
        <v>1.8</v>
      </c>
      <c r="BG17" s="21">
        <v>0.25</v>
      </c>
      <c r="BH17" s="11">
        <f t="shared" si="7"/>
        <v>0.45</v>
      </c>
      <c r="BI17" s="1"/>
      <c r="BJ17" s="19"/>
      <c r="BK17" s="20"/>
      <c r="BL17" s="20"/>
      <c r="BM17" s="21"/>
      <c r="BN17" s="11">
        <f t="shared" si="8"/>
        <v>0</v>
      </c>
      <c r="BO17" s="1"/>
      <c r="BP17" s="37"/>
      <c r="BQ17" s="18"/>
      <c r="BR17" s="18"/>
      <c r="BS17" s="18"/>
      <c r="BT17" s="38">
        <f t="shared" si="14"/>
        <v>0</v>
      </c>
      <c r="BV17" s="19"/>
      <c r="BW17" s="20"/>
      <c r="BX17" s="20"/>
      <c r="BY17" s="21"/>
      <c r="BZ17" s="11">
        <f t="shared" si="12"/>
        <v>0</v>
      </c>
      <c r="CB17" s="19"/>
      <c r="CC17" s="20"/>
      <c r="CD17" s="20"/>
      <c r="CE17" s="21"/>
      <c r="CF17" s="11">
        <f t="shared" si="15"/>
        <v>0</v>
      </c>
    </row>
    <row r="18" spans="2:84" x14ac:dyDescent="0.3">
      <c r="B18" s="19"/>
      <c r="C18" s="20"/>
      <c r="D18" s="20"/>
      <c r="E18" s="21"/>
      <c r="F18" s="11">
        <f t="shared" si="1"/>
        <v>0</v>
      </c>
      <c r="G18" s="1"/>
      <c r="H18" s="19"/>
      <c r="I18" s="20"/>
      <c r="J18" s="20"/>
      <c r="K18" s="21"/>
      <c r="L18" s="11"/>
      <c r="M18" s="1"/>
      <c r="N18" s="19"/>
      <c r="O18" s="20"/>
      <c r="P18" s="20"/>
      <c r="Q18" s="21"/>
      <c r="R18" s="11"/>
      <c r="S18" s="1"/>
      <c r="T18" s="19"/>
      <c r="U18" s="20"/>
      <c r="V18" s="20"/>
      <c r="W18" s="21"/>
      <c r="X18" s="11">
        <f t="shared" si="10"/>
        <v>0</v>
      </c>
      <c r="Y18" s="1"/>
      <c r="AE18" s="1"/>
      <c r="AF18" s="19"/>
      <c r="AG18" s="20"/>
      <c r="AH18" s="20"/>
      <c r="AI18" s="21"/>
      <c r="AJ18" s="11">
        <f t="shared" si="3"/>
        <v>0</v>
      </c>
      <c r="AK18" s="1"/>
      <c r="AL18" s="19" t="s">
        <v>184</v>
      </c>
      <c r="AM18" s="20" t="s">
        <v>9</v>
      </c>
      <c r="AN18" s="20">
        <v>1.8</v>
      </c>
      <c r="AO18" s="21">
        <v>0.25</v>
      </c>
      <c r="AP18" s="11">
        <f t="shared" si="4"/>
        <v>0.45</v>
      </c>
      <c r="AQ18" s="1"/>
      <c r="AR18" s="19"/>
      <c r="AS18" s="20"/>
      <c r="AT18" s="20"/>
      <c r="AU18" s="21"/>
      <c r="AV18" s="11">
        <f t="shared" si="5"/>
        <v>0</v>
      </c>
      <c r="AW18" s="1"/>
      <c r="AX18" s="19"/>
      <c r="AY18" s="20"/>
      <c r="AZ18" s="20"/>
      <c r="BA18" s="21"/>
      <c r="BB18" s="11">
        <f t="shared" si="6"/>
        <v>0</v>
      </c>
      <c r="BC18" s="1"/>
      <c r="BD18" s="19"/>
      <c r="BE18" s="20"/>
      <c r="BF18" s="20"/>
      <c r="BG18" s="21"/>
      <c r="BH18" s="11">
        <f t="shared" si="7"/>
        <v>0</v>
      </c>
      <c r="BI18" s="1"/>
      <c r="BJ18" s="19"/>
      <c r="BK18" s="20"/>
      <c r="BL18" s="20"/>
      <c r="BM18" s="21"/>
      <c r="BN18" s="11">
        <f t="shared" si="8"/>
        <v>0</v>
      </c>
      <c r="BO18" s="1"/>
      <c r="BP18" s="37"/>
      <c r="BQ18" s="18"/>
      <c r="BR18" s="18"/>
      <c r="BS18" s="18"/>
      <c r="BT18" s="38">
        <f t="shared" si="14"/>
        <v>0</v>
      </c>
      <c r="BV18" s="19"/>
      <c r="BW18" s="20"/>
      <c r="BX18" s="20"/>
      <c r="BY18" s="21"/>
      <c r="BZ18" s="11">
        <f t="shared" si="12"/>
        <v>0</v>
      </c>
      <c r="CB18" s="19"/>
      <c r="CC18" s="20"/>
      <c r="CD18" s="20"/>
      <c r="CE18" s="21"/>
      <c r="CF18" s="11">
        <f t="shared" si="15"/>
        <v>0</v>
      </c>
    </row>
    <row r="19" spans="2:84" ht="15" thickBot="1" x14ac:dyDescent="0.35">
      <c r="B19" s="22"/>
      <c r="C19" s="23"/>
      <c r="D19" s="23"/>
      <c r="E19" s="24"/>
      <c r="F19" s="25"/>
      <c r="G19" s="1"/>
      <c r="H19" s="22"/>
      <c r="I19" s="23"/>
      <c r="J19" s="23"/>
      <c r="K19" s="24"/>
      <c r="L19" s="25"/>
      <c r="M19" s="1"/>
      <c r="N19" s="22"/>
      <c r="O19" s="23"/>
      <c r="P19" s="23"/>
      <c r="Q19" s="24"/>
      <c r="R19" s="25"/>
      <c r="S19" s="1"/>
      <c r="T19" s="22"/>
      <c r="U19" s="23"/>
      <c r="V19" s="23"/>
      <c r="W19" s="24"/>
      <c r="X19" s="25"/>
      <c r="Y19" s="1"/>
      <c r="AE19" s="1"/>
      <c r="AF19" s="22"/>
      <c r="AG19" s="23"/>
      <c r="AH19" s="23"/>
      <c r="AI19" s="24"/>
      <c r="AJ19" s="25"/>
      <c r="AK19" s="1"/>
      <c r="AL19" s="22"/>
      <c r="AM19" s="23"/>
      <c r="AN19" s="23"/>
      <c r="AO19" s="24"/>
      <c r="AP19" s="25"/>
      <c r="AQ19" s="1"/>
      <c r="AR19" s="22"/>
      <c r="AS19" s="23"/>
      <c r="AT19" s="23"/>
      <c r="AU19" s="24"/>
      <c r="AV19" s="25"/>
      <c r="AW19" s="1"/>
      <c r="AX19" s="22"/>
      <c r="AY19" s="23"/>
      <c r="AZ19" s="23"/>
      <c r="BA19" s="24"/>
      <c r="BB19" s="25"/>
      <c r="BC19" s="1"/>
      <c r="BD19" s="22"/>
      <c r="BE19" s="23"/>
      <c r="BF19" s="23"/>
      <c r="BG19" s="24"/>
      <c r="BH19" s="25"/>
      <c r="BI19" s="1"/>
      <c r="BJ19" s="22"/>
      <c r="BK19" s="23"/>
      <c r="BL19" s="23"/>
      <c r="BM19" s="24"/>
      <c r="BN19" s="25"/>
      <c r="BO19" s="1"/>
      <c r="BP19" s="44"/>
      <c r="BQ19" s="24"/>
      <c r="BR19" s="24"/>
      <c r="BS19" s="24"/>
      <c r="BT19" s="25"/>
      <c r="BV19" s="22"/>
      <c r="BW19" s="23"/>
      <c r="BX19" s="23"/>
      <c r="BY19" s="24"/>
      <c r="BZ19" s="25"/>
      <c r="CB19" s="22"/>
      <c r="CC19" s="23"/>
      <c r="CD19" s="23"/>
      <c r="CE19" s="24"/>
      <c r="CF19" s="25"/>
    </row>
    <row r="20" spans="2:84" ht="15" thickBot="1" x14ac:dyDescent="0.35">
      <c r="B20" s="1"/>
      <c r="C20" s="1"/>
      <c r="D20" s="72" t="s">
        <v>26</v>
      </c>
      <c r="E20" s="73"/>
      <c r="F20" s="26">
        <f>SUM(F4:F19)</f>
        <v>2.8152699999999999</v>
      </c>
      <c r="G20" s="1"/>
      <c r="H20" s="1"/>
      <c r="I20" s="1"/>
      <c r="J20" s="72" t="s">
        <v>26</v>
      </c>
      <c r="K20" s="73"/>
      <c r="L20" s="26">
        <f>SUM(L4:L19)</f>
        <v>1.7287399999999997</v>
      </c>
      <c r="M20" s="1"/>
      <c r="N20" s="1"/>
      <c r="O20" s="1"/>
      <c r="P20" s="72" t="s">
        <v>26</v>
      </c>
      <c r="Q20" s="73"/>
      <c r="R20" s="26">
        <f>SUM(R4:R19)</f>
        <v>1.0084</v>
      </c>
      <c r="S20" s="1"/>
      <c r="T20" s="1"/>
      <c r="U20" s="1"/>
      <c r="V20" s="72" t="s">
        <v>26</v>
      </c>
      <c r="W20" s="73"/>
      <c r="X20" s="26">
        <f>SUM(X4:X19)</f>
        <v>2.3855000000000004</v>
      </c>
      <c r="Y20" s="1"/>
      <c r="AE20" s="1"/>
      <c r="AF20" s="1"/>
      <c r="AG20" s="1"/>
      <c r="AH20" s="72" t="s">
        <v>26</v>
      </c>
      <c r="AI20" s="73"/>
      <c r="AJ20" s="26">
        <f>SUM(AJ4:AJ19)</f>
        <v>3.34334</v>
      </c>
      <c r="AK20" s="1"/>
      <c r="AL20" s="1"/>
      <c r="AM20" s="1"/>
      <c r="AN20" s="72" t="s">
        <v>26</v>
      </c>
      <c r="AO20" s="73"/>
      <c r="AP20" s="26">
        <f>SUM(AP4:AP19)</f>
        <v>2.6702999999999997</v>
      </c>
      <c r="AQ20" s="1"/>
      <c r="AR20" s="1"/>
      <c r="AS20" s="1"/>
      <c r="AT20" s="72" t="s">
        <v>26</v>
      </c>
      <c r="AU20" s="73"/>
      <c r="AV20" s="26">
        <f>SUM(AV4:AV19)</f>
        <v>4.7702200000000001</v>
      </c>
      <c r="AW20" s="1"/>
      <c r="AX20" s="1"/>
      <c r="AY20" s="1"/>
      <c r="AZ20" s="72" t="s">
        <v>26</v>
      </c>
      <c r="BA20" s="73"/>
      <c r="BB20" s="26">
        <f>SUM(BB4:BB19)</f>
        <v>6.7510200000000005</v>
      </c>
      <c r="BC20" s="1"/>
      <c r="BD20" s="1"/>
      <c r="BE20" s="1"/>
      <c r="BF20" s="72" t="s">
        <v>26</v>
      </c>
      <c r="BG20" s="73"/>
      <c r="BH20" s="26">
        <f>SUM(BH4:BH19)</f>
        <v>3.3049399999999993</v>
      </c>
      <c r="BI20" s="1"/>
      <c r="BJ20" s="1"/>
      <c r="BK20" s="1"/>
      <c r="BL20" s="72" t="s">
        <v>26</v>
      </c>
      <c r="BM20" s="73"/>
      <c r="BN20" s="26">
        <f>SUM(BN4:BN19)</f>
        <v>3.6181000000000001</v>
      </c>
      <c r="BO20" s="1"/>
      <c r="BP20" s="1"/>
      <c r="BQ20" s="1"/>
      <c r="BR20" s="77" t="s">
        <v>26</v>
      </c>
      <c r="BS20" s="78"/>
      <c r="BT20" s="41">
        <f>SUM(BT4:BT19)</f>
        <v>2.1992000000000003</v>
      </c>
      <c r="BV20" s="1"/>
      <c r="BW20" s="1"/>
      <c r="BX20" s="72" t="s">
        <v>26</v>
      </c>
      <c r="BY20" s="73"/>
      <c r="BZ20" s="26">
        <f>SUM(BZ4:BZ19)</f>
        <v>1.8029999999999999</v>
      </c>
      <c r="CB20" s="1"/>
      <c r="CC20" s="1"/>
      <c r="CD20" s="72" t="s">
        <v>26</v>
      </c>
      <c r="CE20" s="73"/>
      <c r="CF20" s="26">
        <f>SUM(CF4:CF19)</f>
        <v>3.64</v>
      </c>
    </row>
    <row r="21" spans="2:84" ht="15" thickBot="1" x14ac:dyDescent="0.35">
      <c r="B21" s="1"/>
      <c r="C21" s="1"/>
      <c r="D21" s="72" t="s">
        <v>27</v>
      </c>
      <c r="E21" s="73"/>
      <c r="F21" s="26">
        <f>+F20*1.145</f>
        <v>3.22348415</v>
      </c>
      <c r="G21" s="1"/>
      <c r="H21" s="1"/>
      <c r="I21" s="1"/>
      <c r="J21" s="72" t="s">
        <v>27</v>
      </c>
      <c r="K21" s="73"/>
      <c r="L21" s="26">
        <f>+L20*1.145</f>
        <v>1.9794072999999996</v>
      </c>
      <c r="M21" s="1"/>
      <c r="N21" s="1"/>
      <c r="O21" s="1"/>
      <c r="P21" s="72" t="s">
        <v>27</v>
      </c>
      <c r="Q21" s="73"/>
      <c r="R21" s="26">
        <f>+R20*1.145</f>
        <v>1.1546179999999999</v>
      </c>
      <c r="S21" s="1"/>
      <c r="T21" s="1"/>
      <c r="U21" s="1"/>
      <c r="V21" s="72" t="s">
        <v>27</v>
      </c>
      <c r="W21" s="73"/>
      <c r="X21" s="26">
        <f>+X20*1.145</f>
        <v>2.7313975000000004</v>
      </c>
      <c r="Y21" s="1"/>
      <c r="AE21" s="1"/>
      <c r="AF21" s="1"/>
      <c r="AG21" s="1"/>
      <c r="AH21" s="72" t="s">
        <v>27</v>
      </c>
      <c r="AI21" s="73"/>
      <c r="AJ21" s="26">
        <f>+AJ20*1.145</f>
        <v>3.8281242999999998</v>
      </c>
      <c r="AK21" s="1"/>
      <c r="AL21" s="1"/>
      <c r="AM21" s="1"/>
      <c r="AN21" s="72" t="s">
        <v>27</v>
      </c>
      <c r="AO21" s="73"/>
      <c r="AP21" s="26">
        <f>+AP20*1.145</f>
        <v>3.0574934999999996</v>
      </c>
      <c r="AQ21" s="1"/>
      <c r="AR21" s="1"/>
      <c r="AS21" s="1"/>
      <c r="AT21" s="72" t="s">
        <v>27</v>
      </c>
      <c r="AU21" s="73"/>
      <c r="AV21" s="26">
        <f>+AV20*1.145</f>
        <v>5.4619019</v>
      </c>
      <c r="AW21" s="1"/>
      <c r="AX21" s="1"/>
      <c r="AY21" s="1"/>
      <c r="AZ21" s="72" t="s">
        <v>27</v>
      </c>
      <c r="BA21" s="73"/>
      <c r="BB21" s="26">
        <f>+BB20*1.145</f>
        <v>7.7299179000000002</v>
      </c>
      <c r="BC21" s="1"/>
      <c r="BD21" s="1"/>
      <c r="BE21" s="1"/>
      <c r="BF21" s="72" t="s">
        <v>27</v>
      </c>
      <c r="BG21" s="73"/>
      <c r="BH21" s="26">
        <f>+BH20*1.145</f>
        <v>3.7841562999999994</v>
      </c>
      <c r="BI21" s="1"/>
      <c r="BJ21" s="1"/>
      <c r="BK21" s="1"/>
      <c r="BL21" s="72" t="s">
        <v>27</v>
      </c>
      <c r="BM21" s="73"/>
      <c r="BN21" s="26">
        <f>+BN20*1.145</f>
        <v>4.1427244999999999</v>
      </c>
      <c r="BO21" s="1"/>
      <c r="BP21" s="1"/>
      <c r="BQ21" s="1"/>
      <c r="BR21" s="72" t="s">
        <v>27</v>
      </c>
      <c r="BS21" s="73"/>
      <c r="BT21" s="26">
        <f>+BT20*1.145</f>
        <v>2.5180840000000004</v>
      </c>
      <c r="BV21" s="1"/>
      <c r="BW21" s="1"/>
      <c r="BX21" s="72" t="s">
        <v>27</v>
      </c>
      <c r="BY21" s="73"/>
      <c r="BZ21" s="26">
        <f>+BZ20*1.145</f>
        <v>2.064435</v>
      </c>
      <c r="CB21" s="1"/>
      <c r="CC21" s="1"/>
      <c r="CD21" s="72" t="s">
        <v>27</v>
      </c>
      <c r="CE21" s="73"/>
      <c r="CF21" s="26">
        <f>+CF20*1.145</f>
        <v>4.1678000000000006</v>
      </c>
    </row>
    <row r="22" spans="2:84" ht="15" thickBot="1" x14ac:dyDescent="0.35">
      <c r="B22" s="1"/>
      <c r="C22" s="1"/>
      <c r="D22" s="72" t="s">
        <v>28</v>
      </c>
      <c r="E22" s="73"/>
      <c r="F22" s="26">
        <v>11</v>
      </c>
      <c r="G22" s="1"/>
      <c r="H22" s="1"/>
      <c r="I22" s="1"/>
      <c r="J22" s="72" t="s">
        <v>28</v>
      </c>
      <c r="K22" s="73"/>
      <c r="L22" s="26">
        <v>8</v>
      </c>
      <c r="M22" s="1"/>
      <c r="N22" s="1"/>
      <c r="O22" s="1"/>
      <c r="P22" s="72" t="s">
        <v>28</v>
      </c>
      <c r="Q22" s="73"/>
      <c r="R22" s="26">
        <v>7</v>
      </c>
      <c r="S22" s="1"/>
      <c r="T22" s="1"/>
      <c r="U22" s="1"/>
      <c r="V22" s="72" t="s">
        <v>28</v>
      </c>
      <c r="W22" s="73"/>
      <c r="X22" s="26">
        <v>10</v>
      </c>
      <c r="Y22" s="1"/>
      <c r="AE22" s="1"/>
      <c r="AF22" s="1"/>
      <c r="AG22" s="1"/>
      <c r="AH22" s="72" t="s">
        <v>28</v>
      </c>
      <c r="AI22" s="73"/>
      <c r="AJ22" s="26">
        <v>16</v>
      </c>
      <c r="AK22" s="1"/>
      <c r="AL22" s="1"/>
      <c r="AM22" s="1"/>
      <c r="AN22" s="72" t="s">
        <v>28</v>
      </c>
      <c r="AO22" s="73"/>
      <c r="AP22" s="26">
        <v>11</v>
      </c>
      <c r="AQ22" s="1"/>
      <c r="AR22" s="1"/>
      <c r="AS22" s="1"/>
      <c r="AT22" s="72" t="s">
        <v>28</v>
      </c>
      <c r="AU22" s="73"/>
      <c r="AV22" s="26">
        <v>21</v>
      </c>
      <c r="AW22" s="1"/>
      <c r="AX22" s="1"/>
      <c r="AY22" s="1"/>
      <c r="AZ22" s="72" t="s">
        <v>28</v>
      </c>
      <c r="BA22" s="73"/>
      <c r="BB22" s="26">
        <v>30</v>
      </c>
      <c r="BC22" s="1"/>
      <c r="BD22" s="1"/>
      <c r="BE22" s="1"/>
      <c r="BF22" s="72" t="s">
        <v>28</v>
      </c>
      <c r="BG22" s="73"/>
      <c r="BH22" s="26">
        <v>14</v>
      </c>
      <c r="BI22" s="1"/>
      <c r="BJ22" s="1"/>
      <c r="BK22" s="1"/>
      <c r="BL22" s="72" t="s">
        <v>28</v>
      </c>
      <c r="BM22" s="73"/>
      <c r="BN22" s="26">
        <v>20</v>
      </c>
      <c r="BO22" s="1"/>
      <c r="BP22" s="1"/>
      <c r="BQ22" s="1"/>
      <c r="BR22" s="72" t="s">
        <v>28</v>
      </c>
      <c r="BS22" s="73"/>
      <c r="BT22" s="26">
        <v>10</v>
      </c>
      <c r="BV22" s="1"/>
      <c r="BW22" s="1"/>
      <c r="BX22" s="72" t="s">
        <v>28</v>
      </c>
      <c r="BY22" s="73"/>
      <c r="BZ22" s="26">
        <v>9</v>
      </c>
      <c r="CB22" s="1"/>
      <c r="CC22" s="1"/>
      <c r="CD22" s="72" t="s">
        <v>28</v>
      </c>
      <c r="CE22" s="73"/>
      <c r="CF22" s="26">
        <v>15</v>
      </c>
    </row>
    <row r="23" spans="2:84" ht="15" thickBot="1" x14ac:dyDescent="0.35">
      <c r="B23" s="1"/>
      <c r="C23" s="1"/>
      <c r="D23" s="72" t="s">
        <v>29</v>
      </c>
      <c r="E23" s="74"/>
      <c r="F23" s="27">
        <f>F21/F22*100</f>
        <v>29.304401363636362</v>
      </c>
      <c r="G23" s="1"/>
      <c r="H23" s="1"/>
      <c r="I23" s="1"/>
      <c r="J23" s="72" t="s">
        <v>29</v>
      </c>
      <c r="K23" s="74"/>
      <c r="L23" s="27">
        <f>L21/L22*100</f>
        <v>24.742591249999997</v>
      </c>
      <c r="M23" s="1"/>
      <c r="N23" s="1"/>
      <c r="O23" s="1"/>
      <c r="P23" s="72" t="s">
        <v>29</v>
      </c>
      <c r="Q23" s="74"/>
      <c r="R23" s="27">
        <f>R21/R22*100</f>
        <v>16.494542857142854</v>
      </c>
      <c r="S23" s="1"/>
      <c r="T23" s="1"/>
      <c r="U23" s="1"/>
      <c r="V23" s="72" t="s">
        <v>29</v>
      </c>
      <c r="W23" s="74"/>
      <c r="X23" s="27">
        <f>X21/X22*100</f>
        <v>27.313975000000003</v>
      </c>
      <c r="Y23" s="1"/>
      <c r="AE23" s="1"/>
      <c r="AF23" s="1"/>
      <c r="AG23" s="1"/>
      <c r="AH23" s="72" t="s">
        <v>29</v>
      </c>
      <c r="AI23" s="74"/>
      <c r="AJ23" s="27">
        <f>AJ21/AJ22*100</f>
        <v>23.925776875</v>
      </c>
      <c r="AK23" s="1"/>
      <c r="AL23" s="1"/>
      <c r="AM23" s="1"/>
      <c r="AN23" s="72" t="s">
        <v>29</v>
      </c>
      <c r="AO23" s="74"/>
      <c r="AP23" s="27">
        <f>AP21/AP22*100</f>
        <v>27.795395454545453</v>
      </c>
      <c r="AQ23" s="1"/>
      <c r="AR23" s="1"/>
      <c r="AS23" s="1"/>
      <c r="AT23" s="72" t="s">
        <v>29</v>
      </c>
      <c r="AU23" s="74"/>
      <c r="AV23" s="27">
        <f>AV21/AV22*100</f>
        <v>26.00905666666667</v>
      </c>
      <c r="AW23" s="1"/>
      <c r="AX23" s="1"/>
      <c r="AY23" s="1"/>
      <c r="AZ23" s="72" t="s">
        <v>29</v>
      </c>
      <c r="BA23" s="74"/>
      <c r="BB23" s="27">
        <f>BB21/BB22*100</f>
        <v>25.766392999999997</v>
      </c>
      <c r="BC23" s="1"/>
      <c r="BD23" s="1"/>
      <c r="BE23" s="1"/>
      <c r="BF23" s="72" t="s">
        <v>29</v>
      </c>
      <c r="BG23" s="74"/>
      <c r="BH23" s="27">
        <f>BH21/BH22*100</f>
        <v>27.029687857142854</v>
      </c>
      <c r="BI23" s="1"/>
      <c r="BJ23" s="1"/>
      <c r="BK23" s="1"/>
      <c r="BL23" s="72" t="s">
        <v>29</v>
      </c>
      <c r="BM23" s="74"/>
      <c r="BN23" s="27">
        <f>BN21/BN22*100</f>
        <v>20.7136225</v>
      </c>
      <c r="BO23" s="1"/>
      <c r="BP23" s="1"/>
      <c r="BQ23" s="1"/>
      <c r="BR23" s="72" t="s">
        <v>29</v>
      </c>
      <c r="BS23" s="74"/>
      <c r="BT23" s="27">
        <f>BT21/BT22*100</f>
        <v>25.180840000000003</v>
      </c>
      <c r="BV23" s="1"/>
      <c r="BW23" s="1"/>
      <c r="BX23" s="72" t="s">
        <v>29</v>
      </c>
      <c r="BY23" s="74"/>
      <c r="BZ23" s="27">
        <f>BZ21/BZ22*100</f>
        <v>22.938166666666667</v>
      </c>
      <c r="CB23" s="1"/>
      <c r="CC23" s="1"/>
      <c r="CD23" s="72" t="s">
        <v>29</v>
      </c>
      <c r="CE23" s="74"/>
      <c r="CF23" s="27">
        <f>CF21/CF22*100</f>
        <v>27.785333333333341</v>
      </c>
    </row>
    <row r="24" spans="2:84" x14ac:dyDescent="0.3">
      <c r="B24" s="1"/>
      <c r="C24" s="1"/>
      <c r="D24" s="1"/>
      <c r="E24" s="28" t="s">
        <v>30</v>
      </c>
      <c r="F24" s="16">
        <f>100-F23</f>
        <v>70.695598636363641</v>
      </c>
      <c r="G24" s="1"/>
      <c r="H24" s="1"/>
      <c r="I24" s="1"/>
      <c r="J24" s="1"/>
      <c r="K24" s="28" t="s">
        <v>30</v>
      </c>
      <c r="L24" s="16">
        <f>100-L23</f>
        <v>75.257408749999996</v>
      </c>
      <c r="M24" s="1"/>
      <c r="N24" s="1"/>
      <c r="O24" s="1"/>
      <c r="P24" s="1"/>
      <c r="Q24" s="28" t="s">
        <v>30</v>
      </c>
      <c r="R24" s="16">
        <f>100-R23</f>
        <v>83.505457142857153</v>
      </c>
      <c r="S24" s="1"/>
      <c r="T24" s="1"/>
      <c r="U24" s="1"/>
      <c r="V24" s="1"/>
      <c r="W24" s="28" t="s">
        <v>30</v>
      </c>
      <c r="X24" s="16">
        <f>100-X23</f>
        <v>72.686025000000001</v>
      </c>
      <c r="Y24" s="1"/>
      <c r="AE24" s="1"/>
      <c r="AF24" s="1"/>
      <c r="AG24" s="1"/>
      <c r="AH24" s="1"/>
      <c r="AI24" s="28" t="s">
        <v>30</v>
      </c>
      <c r="AJ24" s="16">
        <f>100-AJ23</f>
        <v>76.074223125000003</v>
      </c>
      <c r="AK24" s="1"/>
      <c r="AL24" s="1"/>
      <c r="AM24" s="1"/>
      <c r="AN24" s="1"/>
      <c r="AO24" s="28" t="s">
        <v>30</v>
      </c>
      <c r="AP24" s="16">
        <f>100-AP23</f>
        <v>72.204604545454544</v>
      </c>
      <c r="AQ24" s="1"/>
      <c r="AR24" s="1"/>
      <c r="AS24" s="1"/>
      <c r="AT24" s="1"/>
      <c r="AU24" s="28" t="s">
        <v>30</v>
      </c>
      <c r="AV24" s="16">
        <f>100-AV23</f>
        <v>73.990943333333334</v>
      </c>
      <c r="AW24" s="1"/>
      <c r="AX24" s="1"/>
      <c r="AY24" s="1"/>
      <c r="AZ24" s="1"/>
      <c r="BA24" s="28" t="s">
        <v>30</v>
      </c>
      <c r="BB24" s="16">
        <f>100-BB23</f>
        <v>74.233607000000006</v>
      </c>
      <c r="BC24" s="1"/>
      <c r="BD24" s="1"/>
      <c r="BE24" s="1"/>
      <c r="BF24" s="1"/>
      <c r="BG24" s="28" t="s">
        <v>30</v>
      </c>
      <c r="BH24" s="16">
        <f>100-BH23</f>
        <v>72.970312142857154</v>
      </c>
      <c r="BI24" s="1"/>
      <c r="BJ24" s="1"/>
      <c r="BK24" s="1"/>
      <c r="BL24" s="1"/>
      <c r="BM24" s="28" t="s">
        <v>30</v>
      </c>
      <c r="BN24" s="16">
        <f>100-BN23</f>
        <v>79.2863775</v>
      </c>
      <c r="BO24" s="1"/>
      <c r="BP24" s="1"/>
      <c r="BQ24" s="1"/>
      <c r="BR24" s="1"/>
      <c r="BS24" s="28" t="s">
        <v>30</v>
      </c>
      <c r="BT24" s="16">
        <f>100-BT23</f>
        <v>74.819159999999997</v>
      </c>
      <c r="BV24" s="1"/>
      <c r="BW24" s="1"/>
      <c r="BX24" s="1"/>
      <c r="BY24" s="28" t="s">
        <v>30</v>
      </c>
      <c r="BZ24" s="16">
        <f>100-BZ23</f>
        <v>77.06183333333334</v>
      </c>
      <c r="CB24" s="1"/>
      <c r="CC24" s="1"/>
      <c r="CD24" s="1"/>
      <c r="CE24" s="28" t="s">
        <v>30</v>
      </c>
      <c r="CF24" s="16">
        <f>100-CF23</f>
        <v>72.214666666666659</v>
      </c>
    </row>
    <row r="25" spans="2:84" ht="15" thickBot="1" x14ac:dyDescent="0.3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</row>
    <row r="26" spans="2:84" ht="15" thickBot="1" x14ac:dyDescent="0.35">
      <c r="B26" s="69" t="s">
        <v>197</v>
      </c>
      <c r="C26" s="70"/>
      <c r="D26" s="70"/>
      <c r="E26" s="70"/>
      <c r="F26" s="71"/>
      <c r="H26" s="69" t="s">
        <v>202</v>
      </c>
      <c r="I26" s="70"/>
      <c r="J26" s="70"/>
      <c r="K26" s="70"/>
      <c r="L26" s="71"/>
      <c r="N26" s="69" t="s">
        <v>207</v>
      </c>
      <c r="O26" s="70"/>
      <c r="P26" s="70"/>
      <c r="Q26" s="70"/>
      <c r="R26" s="71"/>
      <c r="T26" s="69" t="s">
        <v>206</v>
      </c>
      <c r="U26" s="70"/>
      <c r="V26" s="70"/>
      <c r="W26" s="70"/>
      <c r="X26" s="71"/>
    </row>
    <row r="27" spans="2:84" ht="15" thickBot="1" x14ac:dyDescent="0.35">
      <c r="B27" s="2" t="s">
        <v>3</v>
      </c>
      <c r="C27" s="3" t="s">
        <v>4</v>
      </c>
      <c r="D27" s="3" t="s">
        <v>5</v>
      </c>
      <c r="E27" s="4" t="s">
        <v>6</v>
      </c>
      <c r="F27" s="5" t="s">
        <v>7</v>
      </c>
      <c r="H27" s="2" t="s">
        <v>3</v>
      </c>
      <c r="I27" s="3" t="s">
        <v>4</v>
      </c>
      <c r="J27" s="3" t="s">
        <v>5</v>
      </c>
      <c r="K27" s="4" t="s">
        <v>6</v>
      </c>
      <c r="L27" s="5" t="s">
        <v>7</v>
      </c>
      <c r="N27" s="2" t="s">
        <v>3</v>
      </c>
      <c r="O27" s="3" t="s">
        <v>4</v>
      </c>
      <c r="P27" s="3" t="s">
        <v>5</v>
      </c>
      <c r="Q27" s="4" t="s">
        <v>6</v>
      </c>
      <c r="R27" s="5" t="s">
        <v>7</v>
      </c>
      <c r="T27" s="2" t="s">
        <v>3</v>
      </c>
      <c r="U27" s="3" t="s">
        <v>4</v>
      </c>
      <c r="V27" s="3" t="s">
        <v>5</v>
      </c>
      <c r="W27" s="4" t="s">
        <v>6</v>
      </c>
      <c r="X27" s="5" t="s">
        <v>7</v>
      </c>
      <c r="AF27" s="69" t="s">
        <v>227</v>
      </c>
      <c r="AG27" s="70"/>
      <c r="AH27" s="70"/>
      <c r="AI27" s="70"/>
      <c r="AJ27" s="71"/>
      <c r="AL27" s="69" t="s">
        <v>228</v>
      </c>
      <c r="AM27" s="70"/>
      <c r="AN27" s="70"/>
      <c r="AO27" s="70"/>
      <c r="AP27" s="71"/>
      <c r="AR27" s="69" t="s">
        <v>232</v>
      </c>
      <c r="AS27" s="70"/>
      <c r="AT27" s="70"/>
      <c r="AU27" s="70"/>
      <c r="AV27" s="71"/>
      <c r="AX27" s="69" t="s">
        <v>242</v>
      </c>
      <c r="AY27" s="70"/>
      <c r="AZ27" s="70"/>
      <c r="BA27" s="70"/>
      <c r="BB27" s="71"/>
      <c r="BD27" s="69" t="s">
        <v>244</v>
      </c>
      <c r="BE27" s="70"/>
      <c r="BF27" s="70"/>
      <c r="BG27" s="70"/>
      <c r="BH27" s="71"/>
      <c r="BJ27" s="69" t="s">
        <v>480</v>
      </c>
      <c r="BK27" s="70"/>
      <c r="BL27" s="70"/>
      <c r="BM27" s="70"/>
      <c r="BN27" s="71"/>
      <c r="BP27" s="69" t="s">
        <v>252</v>
      </c>
      <c r="BQ27" s="70"/>
      <c r="BR27" s="70"/>
      <c r="BS27" s="70"/>
      <c r="BT27" s="71"/>
      <c r="BV27" s="69" t="s">
        <v>280</v>
      </c>
      <c r="BW27" s="70"/>
      <c r="BX27" s="70"/>
      <c r="BY27" s="70"/>
      <c r="BZ27" s="71"/>
      <c r="CB27" s="69" t="s">
        <v>445</v>
      </c>
      <c r="CC27" s="70"/>
      <c r="CD27" s="70"/>
      <c r="CE27" s="70"/>
      <c r="CF27" s="71"/>
    </row>
    <row r="28" spans="2:84" ht="15" thickBot="1" x14ac:dyDescent="0.35">
      <c r="B28" s="7" t="s">
        <v>198</v>
      </c>
      <c r="C28" s="8" t="s">
        <v>34</v>
      </c>
      <c r="D28" s="9">
        <v>0.16</v>
      </c>
      <c r="E28" s="10">
        <v>1</v>
      </c>
      <c r="F28" s="11">
        <f t="shared" ref="F28:F42" si="16">+E28*D28</f>
        <v>0.16</v>
      </c>
      <c r="H28" s="7" t="s">
        <v>198</v>
      </c>
      <c r="I28" s="8" t="s">
        <v>34</v>
      </c>
      <c r="J28" s="9">
        <v>0.16</v>
      </c>
      <c r="K28" s="10">
        <v>1</v>
      </c>
      <c r="L28" s="11">
        <f t="shared" ref="L28:L42" si="17">+K28*J28</f>
        <v>0.16</v>
      </c>
      <c r="N28" s="7" t="s">
        <v>198</v>
      </c>
      <c r="O28" s="8" t="s">
        <v>34</v>
      </c>
      <c r="P28" s="9">
        <v>0.16</v>
      </c>
      <c r="Q28" s="10">
        <v>1</v>
      </c>
      <c r="R28" s="11">
        <f t="shared" ref="R28:R34" si="18">+Q28*P28</f>
        <v>0.16</v>
      </c>
      <c r="T28" s="7" t="s">
        <v>121</v>
      </c>
      <c r="U28" s="8" t="s">
        <v>11</v>
      </c>
      <c r="V28" s="9">
        <v>27.51</v>
      </c>
      <c r="W28" s="10">
        <v>0.2</v>
      </c>
      <c r="X28" s="11">
        <f t="shared" ref="X28:X42" si="19">+W28*V28</f>
        <v>5.5020000000000007</v>
      </c>
      <c r="AF28" s="2" t="s">
        <v>3</v>
      </c>
      <c r="AG28" s="3" t="s">
        <v>4</v>
      </c>
      <c r="AH28" s="3" t="s">
        <v>5</v>
      </c>
      <c r="AI28" s="4" t="s">
        <v>6</v>
      </c>
      <c r="AJ28" s="5" t="s">
        <v>7</v>
      </c>
      <c r="AL28" s="2" t="s">
        <v>3</v>
      </c>
      <c r="AM28" s="3" t="s">
        <v>4</v>
      </c>
      <c r="AN28" s="3" t="s">
        <v>5</v>
      </c>
      <c r="AO28" s="4" t="s">
        <v>6</v>
      </c>
      <c r="AP28" s="5" t="s">
        <v>7</v>
      </c>
      <c r="AR28" s="2" t="s">
        <v>3</v>
      </c>
      <c r="AS28" s="3" t="s">
        <v>4</v>
      </c>
      <c r="AT28" s="3" t="s">
        <v>5</v>
      </c>
      <c r="AU28" s="4" t="s">
        <v>6</v>
      </c>
      <c r="AV28" s="5" t="s">
        <v>7</v>
      </c>
      <c r="AX28" s="2" t="s">
        <v>3</v>
      </c>
      <c r="AY28" s="3" t="s">
        <v>4</v>
      </c>
      <c r="AZ28" s="3" t="s">
        <v>5</v>
      </c>
      <c r="BA28" s="4" t="s">
        <v>6</v>
      </c>
      <c r="BB28" s="5" t="s">
        <v>7</v>
      </c>
      <c r="BD28" s="2" t="s">
        <v>3</v>
      </c>
      <c r="BE28" s="3" t="s">
        <v>4</v>
      </c>
      <c r="BF28" s="3" t="s">
        <v>5</v>
      </c>
      <c r="BG28" s="4" t="s">
        <v>6</v>
      </c>
      <c r="BH28" s="5"/>
      <c r="BJ28" s="2" t="s">
        <v>3</v>
      </c>
      <c r="BK28" s="3" t="s">
        <v>4</v>
      </c>
      <c r="BL28" s="3" t="s">
        <v>5</v>
      </c>
      <c r="BM28" s="4" t="s">
        <v>6</v>
      </c>
      <c r="BN28" s="5" t="s">
        <v>7</v>
      </c>
      <c r="BP28" s="2" t="s">
        <v>3</v>
      </c>
      <c r="BQ28" s="3" t="s">
        <v>4</v>
      </c>
      <c r="BR28" s="3" t="s">
        <v>5</v>
      </c>
      <c r="BS28" s="4" t="s">
        <v>6</v>
      </c>
      <c r="BT28" s="5" t="s">
        <v>7</v>
      </c>
      <c r="BV28" s="2" t="s">
        <v>3</v>
      </c>
      <c r="BW28" s="3" t="s">
        <v>4</v>
      </c>
      <c r="BX28" s="3" t="s">
        <v>5</v>
      </c>
      <c r="BY28" s="4" t="s">
        <v>6</v>
      </c>
      <c r="BZ28" s="5" t="s">
        <v>7</v>
      </c>
      <c r="CB28" s="45" t="s">
        <v>3</v>
      </c>
      <c r="CC28" s="10" t="s">
        <v>4</v>
      </c>
      <c r="CD28" s="10" t="s">
        <v>5</v>
      </c>
      <c r="CE28" s="10" t="s">
        <v>6</v>
      </c>
      <c r="CF28" s="46" t="s">
        <v>7</v>
      </c>
    </row>
    <row r="29" spans="2:84" x14ac:dyDescent="0.3">
      <c r="B29" s="15" t="s">
        <v>134</v>
      </c>
      <c r="C29" s="16" t="s">
        <v>128</v>
      </c>
      <c r="D29" s="17">
        <v>5.34</v>
      </c>
      <c r="E29" s="18">
        <v>0.15</v>
      </c>
      <c r="F29" s="11">
        <f t="shared" si="16"/>
        <v>0.80099999999999993</v>
      </c>
      <c r="H29" s="15" t="s">
        <v>203</v>
      </c>
      <c r="I29" s="16" t="s">
        <v>128</v>
      </c>
      <c r="J29" s="17">
        <v>13</v>
      </c>
      <c r="K29" s="18">
        <v>0.13</v>
      </c>
      <c r="L29" s="11">
        <f t="shared" si="17"/>
        <v>1.69</v>
      </c>
      <c r="N29" s="15" t="s">
        <v>208</v>
      </c>
      <c r="O29" s="16" t="s">
        <v>128</v>
      </c>
      <c r="P29" s="17">
        <v>13</v>
      </c>
      <c r="Q29" s="18">
        <v>0.06</v>
      </c>
      <c r="R29" s="11">
        <f t="shared" si="18"/>
        <v>0.78</v>
      </c>
      <c r="T29" s="15" t="s">
        <v>217</v>
      </c>
      <c r="U29" s="16" t="s">
        <v>11</v>
      </c>
      <c r="V29" s="17">
        <v>1</v>
      </c>
      <c r="W29" s="18">
        <v>0.02</v>
      </c>
      <c r="X29" s="11">
        <f t="shared" si="19"/>
        <v>0.02</v>
      </c>
      <c r="AF29" s="7"/>
      <c r="AG29" s="8"/>
      <c r="AH29" s="9"/>
      <c r="AI29" s="10"/>
      <c r="AJ29" s="11"/>
      <c r="AL29" s="7" t="s">
        <v>126</v>
      </c>
      <c r="AM29" s="8" t="s">
        <v>34</v>
      </c>
      <c r="AN29" s="9">
        <v>7.6</v>
      </c>
      <c r="AO29" s="10">
        <v>0.2</v>
      </c>
      <c r="AP29" s="11">
        <f t="shared" ref="AP29:AP43" si="20">+AO29*AN29</f>
        <v>1.52</v>
      </c>
      <c r="AR29" s="7" t="s">
        <v>233</v>
      </c>
      <c r="AS29" s="8" t="s">
        <v>34</v>
      </c>
      <c r="AT29" s="9">
        <v>0.1</v>
      </c>
      <c r="AU29" s="10">
        <v>3</v>
      </c>
      <c r="AV29" s="11">
        <f t="shared" ref="AV29:AV43" si="21">+AU29*AT29</f>
        <v>0.30000000000000004</v>
      </c>
      <c r="AX29" s="7" t="s">
        <v>229</v>
      </c>
      <c r="AY29" s="8" t="s">
        <v>34</v>
      </c>
      <c r="AZ29" s="9">
        <v>17</v>
      </c>
      <c r="BA29" s="10">
        <v>0.1</v>
      </c>
      <c r="BB29" s="11">
        <f t="shared" ref="BB29:BB43" si="22">+BA29*AZ29</f>
        <v>1.7000000000000002</v>
      </c>
      <c r="BD29" s="7" t="s">
        <v>244</v>
      </c>
      <c r="BE29" s="8" t="s">
        <v>34</v>
      </c>
      <c r="BF29" s="9">
        <v>12.5</v>
      </c>
      <c r="BG29" s="10">
        <v>0.2</v>
      </c>
      <c r="BH29" s="11">
        <f t="shared" ref="BH29:BH43" si="23">+BG29*BF29</f>
        <v>2.5</v>
      </c>
      <c r="BJ29" s="7" t="s">
        <v>247</v>
      </c>
      <c r="BK29" s="8" t="s">
        <v>34</v>
      </c>
      <c r="BL29" s="9">
        <v>4</v>
      </c>
      <c r="BM29" s="10">
        <v>1</v>
      </c>
      <c r="BN29" s="11">
        <f t="shared" ref="BN29:BN43" si="24">+BM29*BL29</f>
        <v>4</v>
      </c>
      <c r="BP29" s="7" t="s">
        <v>252</v>
      </c>
      <c r="BQ29" s="8" t="s">
        <v>34</v>
      </c>
      <c r="BR29" s="9">
        <v>5</v>
      </c>
      <c r="BS29" s="10">
        <v>0.35</v>
      </c>
      <c r="BT29" s="11">
        <f t="shared" ref="BT29:BT43" si="25">+BS29*BR29</f>
        <v>1.75</v>
      </c>
      <c r="BV29" s="7" t="s">
        <v>281</v>
      </c>
      <c r="BW29" s="8" t="s">
        <v>34</v>
      </c>
      <c r="BX29" s="9">
        <v>45.75</v>
      </c>
      <c r="BY29" s="10">
        <v>0.04</v>
      </c>
      <c r="BZ29" s="11">
        <f t="shared" ref="BZ29:BZ43" si="26">+BY29*BX29</f>
        <v>1.83</v>
      </c>
      <c r="CB29" s="37" t="s">
        <v>446</v>
      </c>
      <c r="CC29" s="18" t="s">
        <v>11</v>
      </c>
      <c r="CD29" s="32">
        <v>45</v>
      </c>
      <c r="CE29" s="18">
        <v>0.35</v>
      </c>
      <c r="CF29" s="11">
        <f t="shared" ref="CF29:CF39" si="27">+CE29*CD29</f>
        <v>15.749999999999998</v>
      </c>
    </row>
    <row r="30" spans="2:84" x14ac:dyDescent="0.3">
      <c r="B30" s="15" t="s">
        <v>199</v>
      </c>
      <c r="C30" s="16" t="s">
        <v>11</v>
      </c>
      <c r="D30" s="17">
        <v>0.6</v>
      </c>
      <c r="E30" s="18">
        <v>0.25</v>
      </c>
      <c r="F30" s="11">
        <f t="shared" si="16"/>
        <v>0.15</v>
      </c>
      <c r="H30" s="15" t="s">
        <v>199</v>
      </c>
      <c r="I30" s="16" t="s">
        <v>11</v>
      </c>
      <c r="J30" s="17">
        <v>0.6</v>
      </c>
      <c r="K30" s="18">
        <v>0.25</v>
      </c>
      <c r="L30" s="11">
        <f t="shared" si="17"/>
        <v>0.15</v>
      </c>
      <c r="N30" s="15" t="s">
        <v>209</v>
      </c>
      <c r="O30" s="16" t="s">
        <v>11</v>
      </c>
      <c r="P30" s="17">
        <v>5.7279999999999998</v>
      </c>
      <c r="Q30" s="18">
        <v>0.05</v>
      </c>
      <c r="R30" s="11">
        <f t="shared" si="18"/>
        <v>0.28639999999999999</v>
      </c>
      <c r="T30" s="15" t="s">
        <v>218</v>
      </c>
      <c r="U30" s="16" t="s">
        <v>11</v>
      </c>
      <c r="V30" s="17">
        <v>1</v>
      </c>
      <c r="W30" s="18">
        <v>0.1</v>
      </c>
      <c r="X30" s="11">
        <f t="shared" si="19"/>
        <v>0.1</v>
      </c>
      <c r="AF30" s="15" t="s">
        <v>131</v>
      </c>
      <c r="AG30" s="16" t="s">
        <v>128</v>
      </c>
      <c r="AH30" s="17">
        <v>0.5</v>
      </c>
      <c r="AI30" s="18">
        <v>1</v>
      </c>
      <c r="AJ30" s="11">
        <f t="shared" ref="AJ30:AJ43" si="28">+AI30*AH30</f>
        <v>0.5</v>
      </c>
      <c r="AL30" s="15" t="s">
        <v>229</v>
      </c>
      <c r="AM30" s="16" t="s">
        <v>34</v>
      </c>
      <c r="AN30" s="17">
        <v>17</v>
      </c>
      <c r="AO30" s="18">
        <v>0.2</v>
      </c>
      <c r="AP30" s="11">
        <f t="shared" si="20"/>
        <v>3.4000000000000004</v>
      </c>
      <c r="AR30" s="15" t="s">
        <v>234</v>
      </c>
      <c r="AS30" s="16" t="s">
        <v>34</v>
      </c>
      <c r="AT30" s="17">
        <v>17.5</v>
      </c>
      <c r="AU30" s="18">
        <v>0.1</v>
      </c>
      <c r="AV30" s="11">
        <f t="shared" si="21"/>
        <v>1.75</v>
      </c>
      <c r="AX30" s="15" t="s">
        <v>243</v>
      </c>
      <c r="AY30" s="16" t="s">
        <v>11</v>
      </c>
      <c r="AZ30" s="17">
        <v>17.5</v>
      </c>
      <c r="BA30" s="18">
        <v>0.2</v>
      </c>
      <c r="BB30" s="11">
        <f t="shared" si="22"/>
        <v>3.5</v>
      </c>
      <c r="BD30" s="15" t="s">
        <v>245</v>
      </c>
      <c r="BE30" s="16"/>
      <c r="BF30" s="17">
        <v>0.15</v>
      </c>
      <c r="BG30" s="18"/>
      <c r="BH30" s="11">
        <f t="shared" si="23"/>
        <v>0</v>
      </c>
      <c r="BJ30" s="15" t="s">
        <v>181</v>
      </c>
      <c r="BK30" s="16"/>
      <c r="BL30" s="17">
        <v>0.15</v>
      </c>
      <c r="BM30" s="18">
        <v>1</v>
      </c>
      <c r="BN30" s="11">
        <f t="shared" si="24"/>
        <v>0.15</v>
      </c>
      <c r="BP30" s="15" t="s">
        <v>147</v>
      </c>
      <c r="BQ30" s="16"/>
      <c r="BR30" s="17">
        <v>12</v>
      </c>
      <c r="BS30" s="18">
        <v>2E-3</v>
      </c>
      <c r="BT30" s="11">
        <f t="shared" si="25"/>
        <v>2.4E-2</v>
      </c>
      <c r="BV30" s="15" t="s">
        <v>282</v>
      </c>
      <c r="BW30" s="16"/>
      <c r="BX30" s="17">
        <v>9.6</v>
      </c>
      <c r="BY30" s="18">
        <v>0.01</v>
      </c>
      <c r="BZ30" s="11">
        <f t="shared" si="26"/>
        <v>9.6000000000000002E-2</v>
      </c>
      <c r="CB30" s="37" t="s">
        <v>181</v>
      </c>
      <c r="CC30" s="18"/>
      <c r="CD30" s="32">
        <v>9.1999999999999993</v>
      </c>
      <c r="CE30" s="18">
        <v>0.2</v>
      </c>
      <c r="CF30" s="11">
        <f t="shared" si="27"/>
        <v>1.8399999999999999</v>
      </c>
    </row>
    <row r="31" spans="2:84" x14ac:dyDescent="0.3">
      <c r="B31" s="15" t="s">
        <v>200</v>
      </c>
      <c r="C31" s="16" t="s">
        <v>11</v>
      </c>
      <c r="D31" s="17">
        <v>3.83</v>
      </c>
      <c r="E31" s="18">
        <v>0.05</v>
      </c>
      <c r="F31" s="11">
        <f t="shared" si="16"/>
        <v>0.1915</v>
      </c>
      <c r="H31" s="15" t="s">
        <v>204</v>
      </c>
      <c r="I31" s="16" t="s">
        <v>11</v>
      </c>
      <c r="J31" s="17">
        <v>3.83</v>
      </c>
      <c r="K31" s="18">
        <v>1.4999999999999999E-2</v>
      </c>
      <c r="L31" s="11">
        <f t="shared" si="17"/>
        <v>5.7450000000000001E-2</v>
      </c>
      <c r="N31" s="15" t="s">
        <v>199</v>
      </c>
      <c r="O31" s="16" t="s">
        <v>11</v>
      </c>
      <c r="P31" s="17">
        <v>0.6</v>
      </c>
      <c r="Q31" s="18">
        <v>0.25</v>
      </c>
      <c r="R31" s="11">
        <f t="shared" si="18"/>
        <v>0.15</v>
      </c>
      <c r="T31" s="15"/>
      <c r="U31" s="16"/>
      <c r="V31" s="17"/>
      <c r="W31" s="18"/>
      <c r="X31" s="11"/>
      <c r="AF31" s="15" t="s">
        <v>225</v>
      </c>
      <c r="AG31" s="16" t="s">
        <v>34</v>
      </c>
      <c r="AH31" s="17">
        <v>3.8</v>
      </c>
      <c r="AI31" s="18">
        <v>0.04</v>
      </c>
      <c r="AJ31" s="11">
        <f t="shared" si="28"/>
        <v>0.152</v>
      </c>
      <c r="AL31" s="15" t="s">
        <v>230</v>
      </c>
      <c r="AM31" s="16" t="s">
        <v>9</v>
      </c>
      <c r="AN31" s="17">
        <v>13</v>
      </c>
      <c r="AO31" s="18">
        <v>1.4999999999999999E-2</v>
      </c>
      <c r="AP31" s="11">
        <f t="shared" si="20"/>
        <v>0.19500000000000001</v>
      </c>
      <c r="AR31" s="15" t="s">
        <v>20</v>
      </c>
      <c r="AS31" s="16" t="s">
        <v>9</v>
      </c>
      <c r="AT31" s="17">
        <v>0.15</v>
      </c>
      <c r="AU31" s="18">
        <v>1</v>
      </c>
      <c r="AV31" s="11">
        <f t="shared" si="21"/>
        <v>0.15</v>
      </c>
      <c r="AX31" s="15" t="s">
        <v>230</v>
      </c>
      <c r="AY31" s="16" t="s">
        <v>11</v>
      </c>
      <c r="AZ31" s="17">
        <v>24</v>
      </c>
      <c r="BA31" s="18">
        <v>2E-3</v>
      </c>
      <c r="BB31" s="11">
        <f t="shared" si="22"/>
        <v>4.8000000000000001E-2</v>
      </c>
      <c r="BD31" s="15" t="s">
        <v>156</v>
      </c>
      <c r="BE31" s="16"/>
      <c r="BF31" s="17">
        <v>1.8</v>
      </c>
      <c r="BG31" s="18">
        <v>0.01</v>
      </c>
      <c r="BH31" s="11">
        <f t="shared" si="23"/>
        <v>1.8000000000000002E-2</v>
      </c>
      <c r="BJ31" s="15" t="s">
        <v>230</v>
      </c>
      <c r="BK31" s="16"/>
      <c r="BL31" s="17">
        <v>1.8</v>
      </c>
      <c r="BM31" s="18">
        <v>0.01</v>
      </c>
      <c r="BN31" s="11">
        <f t="shared" si="24"/>
        <v>1.8000000000000002E-2</v>
      </c>
      <c r="BP31" s="15" t="s">
        <v>151</v>
      </c>
      <c r="BQ31" s="16"/>
      <c r="BR31" s="17">
        <v>0.6</v>
      </c>
      <c r="BS31" s="18">
        <v>0.01</v>
      </c>
      <c r="BT31" s="11">
        <f t="shared" si="25"/>
        <v>6.0000000000000001E-3</v>
      </c>
      <c r="BV31" s="15" t="s">
        <v>283</v>
      </c>
      <c r="BW31" s="16"/>
      <c r="BX31" s="17">
        <v>0.5</v>
      </c>
      <c r="BY31" s="18">
        <v>1</v>
      </c>
      <c r="BZ31" s="11">
        <f t="shared" si="26"/>
        <v>0.5</v>
      </c>
      <c r="CB31" s="37" t="s">
        <v>447</v>
      </c>
      <c r="CC31" s="18"/>
      <c r="CD31" s="32">
        <v>1</v>
      </c>
      <c r="CE31" s="18">
        <v>0.01</v>
      </c>
      <c r="CF31" s="11">
        <f t="shared" si="27"/>
        <v>0.01</v>
      </c>
    </row>
    <row r="32" spans="2:84" x14ac:dyDescent="0.3">
      <c r="B32" s="15" t="s">
        <v>201</v>
      </c>
      <c r="C32" s="16" t="s">
        <v>44</v>
      </c>
      <c r="D32" s="17">
        <v>1</v>
      </c>
      <c r="E32" s="18">
        <v>5.0000000000000001E-3</v>
      </c>
      <c r="F32" s="11">
        <f t="shared" si="16"/>
        <v>5.0000000000000001E-3</v>
      </c>
      <c r="H32" s="15" t="s">
        <v>257</v>
      </c>
      <c r="I32" s="16" t="s">
        <v>44</v>
      </c>
      <c r="J32" s="17">
        <v>1</v>
      </c>
      <c r="K32" s="18">
        <v>0.1</v>
      </c>
      <c r="L32" s="11">
        <f t="shared" si="17"/>
        <v>0.1</v>
      </c>
      <c r="N32" s="15" t="s">
        <v>200</v>
      </c>
      <c r="O32" s="16" t="s">
        <v>11</v>
      </c>
      <c r="P32" s="17">
        <v>3.83</v>
      </c>
      <c r="Q32" s="18">
        <v>0.05</v>
      </c>
      <c r="R32" s="11">
        <f t="shared" si="18"/>
        <v>0.1915</v>
      </c>
      <c r="T32" s="15"/>
      <c r="U32" s="16"/>
      <c r="V32" s="17"/>
      <c r="W32" s="18"/>
      <c r="X32" s="11"/>
      <c r="AF32" s="15" t="s">
        <v>201</v>
      </c>
      <c r="AG32" s="16" t="s">
        <v>11</v>
      </c>
      <c r="AH32" s="17">
        <v>1</v>
      </c>
      <c r="AI32" s="18">
        <v>0.01</v>
      </c>
      <c r="AJ32" s="11">
        <f t="shared" si="28"/>
        <v>0.01</v>
      </c>
      <c r="AL32" s="15" t="s">
        <v>156</v>
      </c>
      <c r="AM32" s="16" t="s">
        <v>9</v>
      </c>
      <c r="AN32" s="17">
        <v>1.8</v>
      </c>
      <c r="AO32" s="18">
        <v>0.03</v>
      </c>
      <c r="AP32" s="11">
        <f t="shared" si="20"/>
        <v>5.3999999999999999E-2</v>
      </c>
      <c r="AR32" s="15" t="s">
        <v>169</v>
      </c>
      <c r="AS32" s="16" t="s">
        <v>9</v>
      </c>
      <c r="AT32" s="17">
        <v>12.04</v>
      </c>
      <c r="AU32" s="18">
        <v>0.08</v>
      </c>
      <c r="AV32" s="11">
        <f t="shared" si="21"/>
        <v>0.96319999999999995</v>
      </c>
      <c r="AX32" s="15" t="s">
        <v>183</v>
      </c>
      <c r="AY32" s="16" t="s">
        <v>11</v>
      </c>
      <c r="AZ32" s="17">
        <v>6</v>
      </c>
      <c r="BA32" s="18">
        <v>5.0000000000000001E-3</v>
      </c>
      <c r="BB32" s="11">
        <f t="shared" si="22"/>
        <v>0.03</v>
      </c>
      <c r="BD32" s="15" t="s">
        <v>167</v>
      </c>
      <c r="BE32" s="16"/>
      <c r="BF32" s="17">
        <v>11</v>
      </c>
      <c r="BG32" s="18">
        <v>2E-3</v>
      </c>
      <c r="BH32" s="11">
        <f t="shared" si="23"/>
        <v>2.1999999999999999E-2</v>
      </c>
      <c r="BJ32" s="15" t="s">
        <v>140</v>
      </c>
      <c r="BK32" s="16"/>
      <c r="BL32" s="17">
        <v>11</v>
      </c>
      <c r="BM32" s="18">
        <v>2E-3</v>
      </c>
      <c r="BN32" s="11">
        <f t="shared" si="24"/>
        <v>2.1999999999999999E-2</v>
      </c>
      <c r="BP32" s="15" t="s">
        <v>140</v>
      </c>
      <c r="BQ32" s="16"/>
      <c r="BR32" s="17">
        <v>11</v>
      </c>
      <c r="BS32" s="18">
        <v>3.0000000000000001E-3</v>
      </c>
      <c r="BT32" s="11">
        <f t="shared" si="25"/>
        <v>3.3000000000000002E-2</v>
      </c>
      <c r="BV32" s="15" t="s">
        <v>263</v>
      </c>
      <c r="BW32" s="16"/>
      <c r="BX32" s="17">
        <v>1</v>
      </c>
      <c r="BY32" s="18">
        <v>0.15</v>
      </c>
      <c r="BZ32" s="11">
        <f t="shared" si="26"/>
        <v>0.15</v>
      </c>
      <c r="CB32" s="37" t="s">
        <v>448</v>
      </c>
      <c r="CC32" s="18"/>
      <c r="CD32" s="32"/>
      <c r="CE32" s="18"/>
      <c r="CF32" s="11">
        <f t="shared" si="27"/>
        <v>0</v>
      </c>
    </row>
    <row r="33" spans="2:84" x14ac:dyDescent="0.3">
      <c r="B33" s="15" t="s">
        <v>167</v>
      </c>
      <c r="C33" s="16"/>
      <c r="D33" s="17">
        <v>11</v>
      </c>
      <c r="E33" s="18">
        <v>2E-3</v>
      </c>
      <c r="F33" s="11">
        <f t="shared" si="16"/>
        <v>2.1999999999999999E-2</v>
      </c>
      <c r="H33" s="15" t="s">
        <v>167</v>
      </c>
      <c r="I33" s="16"/>
      <c r="J33" s="17">
        <v>11</v>
      </c>
      <c r="K33" s="18">
        <v>2E-3</v>
      </c>
      <c r="L33" s="11">
        <f t="shared" si="17"/>
        <v>2.1999999999999999E-2</v>
      </c>
      <c r="N33" s="15" t="s">
        <v>201</v>
      </c>
      <c r="O33" s="16" t="s">
        <v>44</v>
      </c>
      <c r="P33" s="17">
        <v>1</v>
      </c>
      <c r="Q33" s="18">
        <v>5.0000000000000001E-3</v>
      </c>
      <c r="R33" s="11">
        <f t="shared" si="18"/>
        <v>5.0000000000000001E-3</v>
      </c>
      <c r="T33" s="15" t="s">
        <v>160</v>
      </c>
      <c r="U33" s="16" t="s">
        <v>11</v>
      </c>
      <c r="V33" s="17">
        <v>2.25</v>
      </c>
      <c r="W33" s="18">
        <v>0.01</v>
      </c>
      <c r="X33" s="11">
        <f t="shared" si="19"/>
        <v>2.2499999999999999E-2</v>
      </c>
      <c r="AF33" s="15" t="s">
        <v>158</v>
      </c>
      <c r="AG33" s="16" t="s">
        <v>11</v>
      </c>
      <c r="AH33" s="17">
        <v>1.5</v>
      </c>
      <c r="AI33" s="18">
        <v>3.0000000000000001E-3</v>
      </c>
      <c r="AJ33" s="11">
        <f t="shared" si="28"/>
        <v>4.5000000000000005E-3</v>
      </c>
      <c r="AL33" s="15" t="s">
        <v>183</v>
      </c>
      <c r="AM33" s="16" t="s">
        <v>9</v>
      </c>
      <c r="AN33" s="17">
        <v>6</v>
      </c>
      <c r="AO33" s="18">
        <v>0.01</v>
      </c>
      <c r="AP33" s="11">
        <f t="shared" si="20"/>
        <v>0.06</v>
      </c>
      <c r="AR33" s="15" t="s">
        <v>130</v>
      </c>
      <c r="AS33" s="16" t="s">
        <v>9</v>
      </c>
      <c r="AT33" s="17">
        <v>18</v>
      </c>
      <c r="AU33" s="18">
        <v>0.05</v>
      </c>
      <c r="AV33" s="11">
        <f t="shared" si="21"/>
        <v>0.9</v>
      </c>
      <c r="AX33" s="15" t="s">
        <v>19</v>
      </c>
      <c r="AY33" s="16" t="s">
        <v>11</v>
      </c>
      <c r="AZ33" s="17">
        <v>0.15</v>
      </c>
      <c r="BA33" s="18">
        <v>2</v>
      </c>
      <c r="BB33" s="11">
        <f t="shared" si="22"/>
        <v>0.3</v>
      </c>
      <c r="BD33" s="15" t="s">
        <v>246</v>
      </c>
      <c r="BE33" s="16"/>
      <c r="BF33" s="17">
        <v>3</v>
      </c>
      <c r="BG33" s="18">
        <v>0.2</v>
      </c>
      <c r="BH33" s="11">
        <f t="shared" si="23"/>
        <v>0.60000000000000009</v>
      </c>
      <c r="BJ33" s="15" t="s">
        <v>248</v>
      </c>
      <c r="BK33" s="16"/>
      <c r="BL33" s="17">
        <v>3</v>
      </c>
      <c r="BM33" s="18">
        <v>0.2</v>
      </c>
      <c r="BN33" s="11">
        <f t="shared" si="24"/>
        <v>0.60000000000000009</v>
      </c>
      <c r="BP33" s="15" t="s">
        <v>248</v>
      </c>
      <c r="BQ33" s="16"/>
      <c r="BR33" s="17">
        <v>0.6</v>
      </c>
      <c r="BS33" s="18">
        <v>0.01</v>
      </c>
      <c r="BT33" s="11">
        <f t="shared" si="25"/>
        <v>6.0000000000000001E-3</v>
      </c>
      <c r="BV33" s="15" t="s">
        <v>248</v>
      </c>
      <c r="BW33" s="16"/>
      <c r="BX33" s="17"/>
      <c r="BY33" s="18">
        <v>0</v>
      </c>
      <c r="BZ33" s="11">
        <f t="shared" si="26"/>
        <v>0</v>
      </c>
      <c r="CB33" s="37" t="s">
        <v>19</v>
      </c>
      <c r="CC33" s="18" t="s">
        <v>128</v>
      </c>
      <c r="CD33" s="32">
        <v>0.15</v>
      </c>
      <c r="CE33" s="18">
        <v>4</v>
      </c>
      <c r="CF33" s="11">
        <f t="shared" si="27"/>
        <v>0.6</v>
      </c>
    </row>
    <row r="34" spans="2:84" x14ac:dyDescent="0.3">
      <c r="B34" s="15"/>
      <c r="C34" s="16"/>
      <c r="D34" s="17"/>
      <c r="E34" s="18"/>
      <c r="F34" s="11">
        <f t="shared" si="16"/>
        <v>0</v>
      </c>
      <c r="H34" s="15"/>
      <c r="I34" s="16"/>
      <c r="J34" s="17"/>
      <c r="K34" s="18"/>
      <c r="L34" s="11">
        <f t="shared" si="17"/>
        <v>0</v>
      </c>
      <c r="N34" s="15" t="s">
        <v>167</v>
      </c>
      <c r="O34" s="16"/>
      <c r="P34" s="17">
        <v>11</v>
      </c>
      <c r="Q34" s="18">
        <v>2E-3</v>
      </c>
      <c r="R34" s="11">
        <f t="shared" si="18"/>
        <v>2.1999999999999999E-2</v>
      </c>
      <c r="T34" s="15" t="s">
        <v>154</v>
      </c>
      <c r="U34" s="16" t="s">
        <v>11</v>
      </c>
      <c r="V34" s="17">
        <v>1</v>
      </c>
      <c r="W34" s="18">
        <v>2.5000000000000001E-2</v>
      </c>
      <c r="X34" s="11">
        <f t="shared" si="19"/>
        <v>2.5000000000000001E-2</v>
      </c>
      <c r="AF34" s="15" t="s">
        <v>138</v>
      </c>
      <c r="AG34" s="16" t="s">
        <v>11</v>
      </c>
      <c r="AH34" s="17">
        <v>12.04</v>
      </c>
      <c r="AI34" s="18">
        <v>0.03</v>
      </c>
      <c r="AJ34" s="11">
        <f t="shared" si="28"/>
        <v>0.36119999999999997</v>
      </c>
      <c r="AL34" s="15" t="s">
        <v>45</v>
      </c>
      <c r="AM34" s="16" t="s">
        <v>9</v>
      </c>
      <c r="AN34" s="17">
        <v>1</v>
      </c>
      <c r="AO34" s="18">
        <v>0.02</v>
      </c>
      <c r="AP34" s="11">
        <f t="shared" si="20"/>
        <v>0.02</v>
      </c>
      <c r="AR34" s="15" t="s">
        <v>235</v>
      </c>
      <c r="AS34" s="16" t="s">
        <v>9</v>
      </c>
      <c r="AT34" s="17">
        <v>1.5</v>
      </c>
      <c r="AU34" s="18">
        <v>0.01</v>
      </c>
      <c r="AV34" s="11">
        <f t="shared" si="21"/>
        <v>1.4999999999999999E-2</v>
      </c>
      <c r="AX34" s="15" t="s">
        <v>22</v>
      </c>
      <c r="AY34" s="16" t="s">
        <v>38</v>
      </c>
      <c r="AZ34" s="17">
        <v>1</v>
      </c>
      <c r="BA34" s="18">
        <v>3.0000000000000001E-3</v>
      </c>
      <c r="BB34" s="11">
        <f t="shared" si="22"/>
        <v>3.0000000000000001E-3</v>
      </c>
      <c r="BD34" s="15" t="s">
        <v>353</v>
      </c>
      <c r="BE34" s="16"/>
      <c r="BF34" s="17">
        <v>0.2</v>
      </c>
      <c r="BG34" s="18">
        <v>1</v>
      </c>
      <c r="BH34" s="11">
        <f t="shared" si="23"/>
        <v>0.2</v>
      </c>
      <c r="BJ34" s="15" t="s">
        <v>249</v>
      </c>
      <c r="BK34" s="16"/>
      <c r="BL34" s="17">
        <v>0.6</v>
      </c>
      <c r="BM34" s="18">
        <v>0.01</v>
      </c>
      <c r="BN34" s="11">
        <f t="shared" si="24"/>
        <v>6.0000000000000001E-3</v>
      </c>
      <c r="BP34" s="15" t="s">
        <v>253</v>
      </c>
      <c r="BQ34" s="16"/>
      <c r="BR34" s="17">
        <v>1.5</v>
      </c>
      <c r="BS34" s="18">
        <v>1.4999999999999999E-2</v>
      </c>
      <c r="BT34" s="11">
        <f t="shared" si="25"/>
        <v>2.2499999999999999E-2</v>
      </c>
      <c r="BV34" s="15"/>
      <c r="BW34" s="16"/>
      <c r="BX34" s="17"/>
      <c r="BY34" s="18"/>
      <c r="BZ34" s="11">
        <f t="shared" si="26"/>
        <v>0</v>
      </c>
      <c r="CB34" s="37" t="s">
        <v>24</v>
      </c>
      <c r="CC34" s="18"/>
      <c r="CD34" s="32"/>
      <c r="CE34" s="18"/>
      <c r="CF34" s="11">
        <f t="shared" si="27"/>
        <v>0</v>
      </c>
    </row>
    <row r="35" spans="2:84" x14ac:dyDescent="0.3">
      <c r="B35" s="15"/>
      <c r="C35" s="16"/>
      <c r="D35" s="17"/>
      <c r="E35" s="18"/>
      <c r="F35" s="11">
        <f t="shared" si="16"/>
        <v>0</v>
      </c>
      <c r="H35" s="15"/>
      <c r="I35" s="16"/>
      <c r="J35" s="17"/>
      <c r="K35" s="18"/>
      <c r="L35" s="11">
        <f t="shared" si="17"/>
        <v>0</v>
      </c>
      <c r="N35" s="15"/>
      <c r="O35" s="16"/>
      <c r="P35" s="17" t="s">
        <v>205</v>
      </c>
      <c r="Q35" s="18"/>
      <c r="R35" s="11"/>
      <c r="T35" s="15"/>
      <c r="U35" s="16"/>
      <c r="V35" s="17"/>
      <c r="W35" s="18"/>
      <c r="X35" s="11"/>
      <c r="AF35" s="15" t="s">
        <v>226</v>
      </c>
      <c r="AG35" s="16" t="s">
        <v>11</v>
      </c>
      <c r="AH35" s="17">
        <v>5.34</v>
      </c>
      <c r="AI35" s="18">
        <v>0.2</v>
      </c>
      <c r="AJ35" s="11">
        <f t="shared" si="28"/>
        <v>1.0680000000000001</v>
      </c>
      <c r="AL35" s="15" t="s">
        <v>10</v>
      </c>
      <c r="AM35" s="16" t="s">
        <v>9</v>
      </c>
      <c r="AN35" s="17">
        <v>1</v>
      </c>
      <c r="AO35" s="18">
        <v>0.03</v>
      </c>
      <c r="AP35" s="11">
        <f t="shared" si="20"/>
        <v>0.03</v>
      </c>
      <c r="AR35" s="15" t="s">
        <v>141</v>
      </c>
      <c r="AS35" s="16" t="s">
        <v>9</v>
      </c>
      <c r="AT35" s="17">
        <v>0.6</v>
      </c>
      <c r="AU35" s="18">
        <v>0.1</v>
      </c>
      <c r="AV35" s="11">
        <f t="shared" si="21"/>
        <v>0.06</v>
      </c>
      <c r="AX35" s="15" t="s">
        <v>184</v>
      </c>
      <c r="AY35" s="16" t="s">
        <v>11</v>
      </c>
      <c r="AZ35" s="17">
        <v>1.8</v>
      </c>
      <c r="BA35" s="18">
        <v>0.25</v>
      </c>
      <c r="BB35" s="11">
        <f t="shared" si="22"/>
        <v>0.45</v>
      </c>
      <c r="BD35" s="15"/>
      <c r="BE35" s="16"/>
      <c r="BF35" s="17"/>
      <c r="BG35" s="18"/>
      <c r="BH35" s="11">
        <f t="shared" si="23"/>
        <v>0</v>
      </c>
      <c r="BJ35" s="15" t="s">
        <v>250</v>
      </c>
      <c r="BK35" s="16"/>
      <c r="BL35" s="17">
        <v>3</v>
      </c>
      <c r="BM35" s="18">
        <v>0.2</v>
      </c>
      <c r="BN35" s="11">
        <f t="shared" si="24"/>
        <v>0.60000000000000009</v>
      </c>
      <c r="BP35" s="15" t="s">
        <v>155</v>
      </c>
      <c r="BQ35" s="16"/>
      <c r="BR35" s="17">
        <v>1</v>
      </c>
      <c r="BS35" s="18">
        <v>0.04</v>
      </c>
      <c r="BT35" s="11">
        <f t="shared" si="25"/>
        <v>0.04</v>
      </c>
      <c r="BV35" s="15"/>
      <c r="BW35" s="16"/>
      <c r="BX35" s="17"/>
      <c r="BY35" s="18"/>
      <c r="BZ35" s="11">
        <f t="shared" si="26"/>
        <v>0</v>
      </c>
      <c r="CB35" s="37"/>
      <c r="CC35" s="18"/>
      <c r="CD35" s="18"/>
      <c r="CE35" s="18"/>
      <c r="CF35" s="11">
        <f t="shared" si="27"/>
        <v>0</v>
      </c>
    </row>
    <row r="36" spans="2:84" x14ac:dyDescent="0.3">
      <c r="B36" s="19"/>
      <c r="C36" s="20"/>
      <c r="D36" s="20"/>
      <c r="E36" s="21"/>
      <c r="F36" s="11">
        <f t="shared" si="16"/>
        <v>0</v>
      </c>
      <c r="H36" s="19"/>
      <c r="I36" s="20"/>
      <c r="J36" s="20"/>
      <c r="K36" s="21"/>
      <c r="L36" s="11">
        <f t="shared" si="17"/>
        <v>0</v>
      </c>
      <c r="N36" s="19"/>
      <c r="O36" s="20"/>
      <c r="P36" s="20"/>
      <c r="Q36" s="21"/>
      <c r="R36" s="11"/>
      <c r="T36" s="19"/>
      <c r="U36" s="20"/>
      <c r="V36" s="20"/>
      <c r="W36" s="21"/>
      <c r="X36" s="11"/>
      <c r="AF36" s="15" t="s">
        <v>156</v>
      </c>
      <c r="AG36" s="16" t="s">
        <v>11</v>
      </c>
      <c r="AH36" s="17">
        <v>1.8</v>
      </c>
      <c r="AI36" s="18">
        <v>0.25</v>
      </c>
      <c r="AJ36" s="11">
        <f t="shared" si="28"/>
        <v>0.45</v>
      </c>
      <c r="AL36" s="15" t="s">
        <v>167</v>
      </c>
      <c r="AM36" s="16" t="s">
        <v>9</v>
      </c>
      <c r="AN36" s="17">
        <v>11</v>
      </c>
      <c r="AO36" s="18">
        <v>0.03</v>
      </c>
      <c r="AP36" s="11">
        <f t="shared" si="20"/>
        <v>0.32999999999999996</v>
      </c>
      <c r="AR36" s="15" t="s">
        <v>156</v>
      </c>
      <c r="AS36" s="16" t="s">
        <v>9</v>
      </c>
      <c r="AT36" s="17">
        <v>1.8</v>
      </c>
      <c r="AU36" s="18">
        <v>5.0000000000000001E-3</v>
      </c>
      <c r="AV36" s="11">
        <f t="shared" si="21"/>
        <v>9.0000000000000011E-3</v>
      </c>
      <c r="AX36" s="15" t="s">
        <v>156</v>
      </c>
      <c r="AY36" s="16" t="s">
        <v>11</v>
      </c>
      <c r="AZ36" s="17">
        <v>1.8</v>
      </c>
      <c r="BA36" s="18">
        <v>0.04</v>
      </c>
      <c r="BB36" s="11">
        <f t="shared" si="22"/>
        <v>7.2000000000000008E-2</v>
      </c>
      <c r="BD36" s="15"/>
      <c r="BE36" s="16"/>
      <c r="BF36" s="17"/>
      <c r="BG36" s="18"/>
      <c r="BH36" s="11">
        <f t="shared" si="23"/>
        <v>0</v>
      </c>
      <c r="BJ36" s="15" t="s">
        <v>156</v>
      </c>
      <c r="BK36" s="16"/>
      <c r="BL36" s="17">
        <v>1.8</v>
      </c>
      <c r="BM36" s="18">
        <v>0.02</v>
      </c>
      <c r="BN36" s="11">
        <f t="shared" si="24"/>
        <v>3.6000000000000004E-2</v>
      </c>
      <c r="BP36" s="15" t="s">
        <v>254</v>
      </c>
      <c r="BQ36" s="16"/>
      <c r="BR36" s="17">
        <v>5</v>
      </c>
      <c r="BS36" s="18">
        <v>0.25</v>
      </c>
      <c r="BT36" s="11">
        <f t="shared" si="25"/>
        <v>1.25</v>
      </c>
      <c r="BV36" s="15"/>
      <c r="BW36" s="16"/>
      <c r="BX36" s="17" t="s">
        <v>284</v>
      </c>
      <c r="BY36" s="18"/>
      <c r="BZ36" s="11"/>
      <c r="CB36" s="42"/>
      <c r="CC36" s="14"/>
      <c r="CD36" s="14"/>
      <c r="CE36" s="14"/>
      <c r="CF36" s="11">
        <f t="shared" si="27"/>
        <v>0</v>
      </c>
    </row>
    <row r="37" spans="2:84" x14ac:dyDescent="0.3">
      <c r="B37" s="19"/>
      <c r="C37" s="20"/>
      <c r="D37" s="20"/>
      <c r="E37" s="21"/>
      <c r="F37" s="11">
        <f t="shared" si="16"/>
        <v>0</v>
      </c>
      <c r="H37" s="19"/>
      <c r="I37" s="20"/>
      <c r="J37" s="20"/>
      <c r="K37" s="21"/>
      <c r="L37" s="11">
        <f t="shared" si="17"/>
        <v>0</v>
      </c>
      <c r="N37" s="19"/>
      <c r="O37" s="20"/>
      <c r="P37" s="20"/>
      <c r="Q37" s="21"/>
      <c r="R37" s="11"/>
      <c r="T37" s="19"/>
      <c r="U37" s="20"/>
      <c r="V37" s="20"/>
      <c r="W37" s="21"/>
      <c r="X37" s="11"/>
      <c r="AF37" s="19" t="s">
        <v>231</v>
      </c>
      <c r="AG37" s="20"/>
      <c r="AH37" s="20">
        <v>0.5</v>
      </c>
      <c r="AI37" s="21">
        <v>1</v>
      </c>
      <c r="AJ37" s="11">
        <f t="shared" si="28"/>
        <v>0.5</v>
      </c>
      <c r="AL37" s="19" t="s">
        <v>184</v>
      </c>
      <c r="AM37" s="20" t="s">
        <v>9</v>
      </c>
      <c r="AN37" s="20">
        <v>1.8</v>
      </c>
      <c r="AO37" s="21">
        <v>0.25</v>
      </c>
      <c r="AP37" s="11">
        <f t="shared" si="20"/>
        <v>0.45</v>
      </c>
      <c r="AR37" s="19" t="s">
        <v>167</v>
      </c>
      <c r="AS37" s="20" t="s">
        <v>9</v>
      </c>
      <c r="AT37" s="20">
        <v>11</v>
      </c>
      <c r="AU37" s="21">
        <v>5.0000000000000001E-3</v>
      </c>
      <c r="AV37" s="11">
        <f t="shared" si="21"/>
        <v>5.5E-2</v>
      </c>
      <c r="AX37" s="19" t="s">
        <v>10</v>
      </c>
      <c r="AY37" s="20" t="s">
        <v>11</v>
      </c>
      <c r="AZ37" s="20">
        <v>8.6999999999999993</v>
      </c>
      <c r="BA37" s="21">
        <v>0.03</v>
      </c>
      <c r="BB37" s="11">
        <f t="shared" si="22"/>
        <v>0.26099999999999995</v>
      </c>
      <c r="BD37" s="19"/>
      <c r="BE37" s="20"/>
      <c r="BF37" s="20"/>
      <c r="BG37" s="21"/>
      <c r="BH37" s="11">
        <f t="shared" si="23"/>
        <v>0</v>
      </c>
      <c r="BJ37" s="19" t="s">
        <v>251</v>
      </c>
      <c r="BK37" s="20"/>
      <c r="BL37" s="20">
        <v>11</v>
      </c>
      <c r="BM37" s="21">
        <v>2E-3</v>
      </c>
      <c r="BN37" s="11">
        <f t="shared" si="24"/>
        <v>2.1999999999999999E-2</v>
      </c>
      <c r="BP37" s="19" t="s">
        <v>173</v>
      </c>
      <c r="BQ37" s="20"/>
      <c r="BR37" s="20">
        <v>3</v>
      </c>
      <c r="BS37" s="21">
        <v>3.0000000000000001E-3</v>
      </c>
      <c r="BT37" s="11">
        <f t="shared" si="25"/>
        <v>9.0000000000000011E-3</v>
      </c>
      <c r="BV37" s="19"/>
      <c r="BW37" s="20"/>
      <c r="BX37" s="20"/>
      <c r="BY37" s="21"/>
      <c r="BZ37" s="11">
        <f t="shared" si="26"/>
        <v>0</v>
      </c>
      <c r="CB37" s="37"/>
      <c r="CC37" s="18"/>
      <c r="CD37" s="18"/>
      <c r="CE37" s="18"/>
      <c r="CF37" s="11">
        <f t="shared" si="27"/>
        <v>0</v>
      </c>
    </row>
    <row r="38" spans="2:84" x14ac:dyDescent="0.3">
      <c r="B38" s="19"/>
      <c r="C38" s="20"/>
      <c r="D38" s="20"/>
      <c r="E38" s="21"/>
      <c r="F38" s="11">
        <f t="shared" si="16"/>
        <v>0</v>
      </c>
      <c r="H38" s="19"/>
      <c r="I38" s="20"/>
      <c r="J38" s="20"/>
      <c r="K38" s="21"/>
      <c r="L38" s="11">
        <f t="shared" si="17"/>
        <v>0</v>
      </c>
      <c r="N38" s="19"/>
      <c r="O38" s="20"/>
      <c r="P38" s="20"/>
      <c r="Q38" s="21"/>
      <c r="R38" s="11"/>
      <c r="T38" s="19"/>
      <c r="U38" s="20"/>
      <c r="V38" s="20"/>
      <c r="W38" s="21"/>
      <c r="X38" s="11">
        <f t="shared" si="19"/>
        <v>0</v>
      </c>
      <c r="AF38" s="19"/>
      <c r="AG38" s="20"/>
      <c r="AH38" s="20"/>
      <c r="AI38" s="21"/>
      <c r="AJ38" s="11">
        <f t="shared" si="28"/>
        <v>0</v>
      </c>
      <c r="AL38" s="19"/>
      <c r="AM38" s="20"/>
      <c r="AN38" s="20"/>
      <c r="AO38" s="21"/>
      <c r="AP38" s="11">
        <f t="shared" si="20"/>
        <v>0</v>
      </c>
      <c r="AR38" s="19" t="s">
        <v>201</v>
      </c>
      <c r="AS38" s="20"/>
      <c r="AT38" s="20">
        <v>1</v>
      </c>
      <c r="AU38" s="21">
        <v>0.01</v>
      </c>
      <c r="AV38" s="11">
        <f t="shared" si="21"/>
        <v>0.01</v>
      </c>
      <c r="AX38" s="19"/>
      <c r="AY38" s="20"/>
      <c r="AZ38" s="20"/>
      <c r="BA38" s="21"/>
      <c r="BB38" s="11">
        <f t="shared" si="22"/>
        <v>0</v>
      </c>
      <c r="BD38" s="19"/>
      <c r="BE38" s="20"/>
      <c r="BF38" s="20"/>
      <c r="BG38" s="21"/>
      <c r="BH38" s="11">
        <f t="shared" si="23"/>
        <v>0</v>
      </c>
      <c r="BJ38" s="19"/>
      <c r="BK38" s="20"/>
      <c r="BL38" s="20"/>
      <c r="BM38" s="21"/>
      <c r="BN38" s="11">
        <f t="shared" si="24"/>
        <v>0</v>
      </c>
      <c r="BP38" s="19" t="s">
        <v>171</v>
      </c>
      <c r="BQ38" s="20"/>
      <c r="BR38" s="20">
        <v>2</v>
      </c>
      <c r="BS38" s="21">
        <v>3.0000000000000001E-3</v>
      </c>
      <c r="BT38" s="11">
        <f t="shared" si="25"/>
        <v>6.0000000000000001E-3</v>
      </c>
      <c r="BV38" s="19"/>
      <c r="BW38" s="20"/>
      <c r="BX38" s="20"/>
      <c r="BY38" s="21"/>
      <c r="BZ38" s="11">
        <f t="shared" si="26"/>
        <v>0</v>
      </c>
      <c r="CB38" s="42"/>
      <c r="CC38" s="14"/>
      <c r="CD38" s="14"/>
      <c r="CE38" s="14"/>
      <c r="CF38" s="11">
        <f t="shared" si="27"/>
        <v>0</v>
      </c>
    </row>
    <row r="39" spans="2:84" x14ac:dyDescent="0.3">
      <c r="B39" s="19"/>
      <c r="C39" s="20"/>
      <c r="D39" s="20"/>
      <c r="E39" s="21"/>
      <c r="F39" s="11">
        <f t="shared" si="16"/>
        <v>0</v>
      </c>
      <c r="H39" s="19"/>
      <c r="I39" s="20"/>
      <c r="J39" s="20"/>
      <c r="K39" s="21"/>
      <c r="L39" s="11">
        <f t="shared" si="17"/>
        <v>0</v>
      </c>
      <c r="N39" s="19"/>
      <c r="O39" s="20"/>
      <c r="P39" s="20"/>
      <c r="Q39" s="21"/>
      <c r="R39" s="11"/>
      <c r="T39" s="19"/>
      <c r="U39" s="20"/>
      <c r="V39" s="20"/>
      <c r="W39" s="21"/>
      <c r="X39" s="11">
        <f t="shared" si="19"/>
        <v>0</v>
      </c>
      <c r="AF39" s="19"/>
      <c r="AG39" s="20"/>
      <c r="AH39" s="20"/>
      <c r="AI39" s="21"/>
      <c r="AJ39" s="11">
        <f t="shared" si="28"/>
        <v>0</v>
      </c>
      <c r="AL39" s="19"/>
      <c r="AM39" s="20"/>
      <c r="AN39" s="20"/>
      <c r="AO39" s="21"/>
      <c r="AP39" s="11">
        <f t="shared" si="20"/>
        <v>0</v>
      </c>
      <c r="AR39" s="19"/>
      <c r="AS39" s="20"/>
      <c r="AT39" s="20"/>
      <c r="AU39" s="21"/>
      <c r="AV39" s="11">
        <f t="shared" si="21"/>
        <v>0</v>
      </c>
      <c r="AX39" s="19"/>
      <c r="AY39" s="20"/>
      <c r="AZ39" s="20"/>
      <c r="BA39" s="21"/>
      <c r="BB39" s="11">
        <f t="shared" si="22"/>
        <v>0</v>
      </c>
      <c r="BD39" s="19"/>
      <c r="BE39" s="20"/>
      <c r="BF39" s="20"/>
      <c r="BG39" s="21"/>
      <c r="BH39" s="11">
        <f t="shared" si="23"/>
        <v>0</v>
      </c>
      <c r="BJ39" s="19"/>
      <c r="BK39" s="20"/>
      <c r="BL39" s="20"/>
      <c r="BM39" s="21"/>
      <c r="BN39" s="11">
        <f t="shared" si="24"/>
        <v>0</v>
      </c>
      <c r="BP39" s="19"/>
      <c r="BQ39" s="20"/>
      <c r="BR39" s="20"/>
      <c r="BS39" s="21"/>
      <c r="BT39" s="11">
        <f t="shared" si="25"/>
        <v>0</v>
      </c>
      <c r="BV39" s="19"/>
      <c r="BW39" s="20"/>
      <c r="BX39" s="20"/>
      <c r="BY39" s="21"/>
      <c r="BZ39" s="11">
        <f t="shared" si="26"/>
        <v>0</v>
      </c>
      <c r="CB39" s="37"/>
      <c r="CC39" s="18"/>
      <c r="CD39" s="18"/>
      <c r="CE39" s="18"/>
      <c r="CF39" s="11">
        <f t="shared" si="27"/>
        <v>0</v>
      </c>
    </row>
    <row r="40" spans="2:84" x14ac:dyDescent="0.3">
      <c r="B40" s="19"/>
      <c r="C40" s="20"/>
      <c r="D40" s="20"/>
      <c r="E40" s="21"/>
      <c r="F40" s="11">
        <f t="shared" si="16"/>
        <v>0</v>
      </c>
      <c r="H40" s="19"/>
      <c r="I40" s="20"/>
      <c r="J40" s="20"/>
      <c r="K40" s="21"/>
      <c r="L40" s="11">
        <f t="shared" si="17"/>
        <v>0</v>
      </c>
      <c r="N40" s="19"/>
      <c r="O40" s="20"/>
      <c r="P40" s="20"/>
      <c r="Q40" s="21"/>
      <c r="R40" s="11"/>
      <c r="T40" s="19"/>
      <c r="U40" s="20"/>
      <c r="V40" s="20"/>
      <c r="W40" s="21"/>
      <c r="X40" s="11">
        <f t="shared" si="19"/>
        <v>0</v>
      </c>
      <c r="AF40" s="19"/>
      <c r="AG40" s="20"/>
      <c r="AH40" s="20"/>
      <c r="AI40" s="21"/>
      <c r="AJ40" s="11">
        <f t="shared" si="28"/>
        <v>0</v>
      </c>
      <c r="AL40" s="19"/>
      <c r="AM40" s="20"/>
      <c r="AN40" s="20"/>
      <c r="AO40" s="21"/>
      <c r="AP40" s="11">
        <f t="shared" si="20"/>
        <v>0</v>
      </c>
      <c r="AR40" s="19"/>
      <c r="AS40" s="20"/>
      <c r="AT40" s="20"/>
      <c r="AU40" s="21"/>
      <c r="AV40" s="11">
        <f t="shared" si="21"/>
        <v>0</v>
      </c>
      <c r="AX40" s="19"/>
      <c r="AY40" s="20"/>
      <c r="AZ40" s="20"/>
      <c r="BA40" s="21"/>
      <c r="BB40" s="11">
        <f t="shared" si="22"/>
        <v>0</v>
      </c>
      <c r="BD40" s="19"/>
      <c r="BE40" s="20"/>
      <c r="BF40" s="20"/>
      <c r="BG40" s="21"/>
      <c r="BH40" s="11">
        <f t="shared" si="23"/>
        <v>0</v>
      </c>
      <c r="BJ40" s="19"/>
      <c r="BK40" s="20"/>
      <c r="BL40" s="20"/>
      <c r="BM40" s="21"/>
      <c r="BN40" s="11">
        <f t="shared" si="24"/>
        <v>0</v>
      </c>
      <c r="BP40" s="19"/>
      <c r="BQ40" s="20"/>
      <c r="BR40" s="20"/>
      <c r="BS40" s="21"/>
      <c r="BT40" s="11">
        <f t="shared" si="25"/>
        <v>0</v>
      </c>
      <c r="BV40" s="19"/>
      <c r="BW40" s="20"/>
      <c r="BX40" s="20"/>
      <c r="BY40" s="21"/>
      <c r="BZ40" s="11">
        <f t="shared" si="26"/>
        <v>0</v>
      </c>
      <c r="CB40" s="37"/>
      <c r="CC40" s="18"/>
      <c r="CD40" s="18"/>
      <c r="CE40" s="18"/>
      <c r="CF40" s="38">
        <f t="shared" ref="CF40:CF43" si="29">+CE40*CD40</f>
        <v>0</v>
      </c>
    </row>
    <row r="41" spans="2:84" x14ac:dyDescent="0.3">
      <c r="B41" s="19"/>
      <c r="C41" s="20"/>
      <c r="D41" s="20"/>
      <c r="E41" s="21"/>
      <c r="F41" s="11">
        <f t="shared" si="16"/>
        <v>0</v>
      </c>
      <c r="H41" s="19"/>
      <c r="I41" s="20"/>
      <c r="J41" s="20"/>
      <c r="K41" s="21"/>
      <c r="L41" s="11">
        <f t="shared" si="17"/>
        <v>0</v>
      </c>
      <c r="N41" s="19"/>
      <c r="O41" s="20"/>
      <c r="P41" s="20"/>
      <c r="Q41" s="21"/>
      <c r="R41" s="11"/>
      <c r="T41" s="19"/>
      <c r="U41" s="20"/>
      <c r="V41" s="20"/>
      <c r="W41" s="21"/>
      <c r="X41" s="11">
        <f t="shared" si="19"/>
        <v>0</v>
      </c>
      <c r="AF41" s="19"/>
      <c r="AG41" s="20"/>
      <c r="AH41" s="20"/>
      <c r="AI41" s="21"/>
      <c r="AJ41" s="11">
        <f t="shared" si="28"/>
        <v>0</v>
      </c>
      <c r="AL41" s="19"/>
      <c r="AM41" s="20"/>
      <c r="AN41" s="20"/>
      <c r="AO41" s="21"/>
      <c r="AP41" s="11">
        <f t="shared" si="20"/>
        <v>0</v>
      </c>
      <c r="AR41" s="19"/>
      <c r="AS41" s="20"/>
      <c r="AT41" s="20"/>
      <c r="AU41" s="21"/>
      <c r="AV41" s="11">
        <f t="shared" si="21"/>
        <v>0</v>
      </c>
      <c r="AX41" s="19"/>
      <c r="AY41" s="20"/>
      <c r="AZ41" s="20"/>
      <c r="BA41" s="21"/>
      <c r="BB41" s="11">
        <f t="shared" si="22"/>
        <v>0</v>
      </c>
      <c r="BD41" s="19"/>
      <c r="BE41" s="20"/>
      <c r="BF41" s="20"/>
      <c r="BG41" s="21"/>
      <c r="BH41" s="11">
        <f t="shared" si="23"/>
        <v>0</v>
      </c>
      <c r="BJ41" s="19"/>
      <c r="BK41" s="20"/>
      <c r="BL41" s="20"/>
      <c r="BM41" s="21"/>
      <c r="BN41" s="11">
        <f t="shared" si="24"/>
        <v>0</v>
      </c>
      <c r="BP41" s="19"/>
      <c r="BQ41" s="20"/>
      <c r="BR41" s="20"/>
      <c r="BS41" s="21"/>
      <c r="BT41" s="11">
        <f t="shared" si="25"/>
        <v>0</v>
      </c>
      <c r="BV41" s="19"/>
      <c r="BW41" s="20"/>
      <c r="BX41" s="20"/>
      <c r="BY41" s="21"/>
      <c r="BZ41" s="11">
        <f t="shared" si="26"/>
        <v>0</v>
      </c>
      <c r="CB41" s="37"/>
      <c r="CC41" s="18"/>
      <c r="CD41" s="18"/>
      <c r="CE41" s="18"/>
      <c r="CF41" s="38">
        <f t="shared" si="29"/>
        <v>0</v>
      </c>
    </row>
    <row r="42" spans="2:84" x14ac:dyDescent="0.3">
      <c r="B42" s="19"/>
      <c r="C42" s="20"/>
      <c r="D42" s="20"/>
      <c r="E42" s="21"/>
      <c r="F42" s="11">
        <f t="shared" si="16"/>
        <v>0</v>
      </c>
      <c r="H42" s="19"/>
      <c r="I42" s="20"/>
      <c r="J42" s="20"/>
      <c r="K42" s="21"/>
      <c r="L42" s="11">
        <f t="shared" si="17"/>
        <v>0</v>
      </c>
      <c r="N42" s="19"/>
      <c r="O42" s="20"/>
      <c r="P42" s="20"/>
      <c r="Q42" s="21"/>
      <c r="R42" s="11"/>
      <c r="T42" s="19"/>
      <c r="U42" s="20"/>
      <c r="V42" s="20"/>
      <c r="W42" s="21"/>
      <c r="X42" s="11">
        <f t="shared" si="19"/>
        <v>0</v>
      </c>
      <c r="AF42" s="19"/>
      <c r="AG42" s="20"/>
      <c r="AH42" s="20"/>
      <c r="AI42" s="21"/>
      <c r="AJ42" s="11">
        <f t="shared" si="28"/>
        <v>0</v>
      </c>
      <c r="AL42" s="19"/>
      <c r="AM42" s="20"/>
      <c r="AN42" s="20"/>
      <c r="AO42" s="21"/>
      <c r="AP42" s="11">
        <f t="shared" si="20"/>
        <v>0</v>
      </c>
      <c r="AR42" s="19"/>
      <c r="AS42" s="20"/>
      <c r="AT42" s="20"/>
      <c r="AU42" s="21"/>
      <c r="AV42" s="11">
        <f t="shared" si="21"/>
        <v>0</v>
      </c>
      <c r="AX42" s="19"/>
      <c r="AY42" s="20"/>
      <c r="AZ42" s="20"/>
      <c r="BA42" s="21"/>
      <c r="BB42" s="11">
        <f t="shared" si="22"/>
        <v>0</v>
      </c>
      <c r="BD42" s="19"/>
      <c r="BE42" s="20"/>
      <c r="BF42" s="20"/>
      <c r="BG42" s="21"/>
      <c r="BH42" s="11">
        <f t="shared" si="23"/>
        <v>0</v>
      </c>
      <c r="BJ42" s="19"/>
      <c r="BK42" s="20"/>
      <c r="BL42" s="20"/>
      <c r="BM42" s="21"/>
      <c r="BN42" s="11">
        <f t="shared" si="24"/>
        <v>0</v>
      </c>
      <c r="BP42" s="19"/>
      <c r="BQ42" s="20"/>
      <c r="BR42" s="20"/>
      <c r="BS42" s="21"/>
      <c r="BT42" s="11">
        <f t="shared" si="25"/>
        <v>0</v>
      </c>
      <c r="BV42" s="19"/>
      <c r="BW42" s="20"/>
      <c r="BX42" s="20"/>
      <c r="BY42" s="21"/>
      <c r="BZ42" s="11">
        <f t="shared" si="26"/>
        <v>0</v>
      </c>
      <c r="CB42" s="37"/>
      <c r="CC42" s="18"/>
      <c r="CD42" s="18"/>
      <c r="CE42" s="18"/>
      <c r="CF42" s="38">
        <f t="shared" si="29"/>
        <v>0</v>
      </c>
    </row>
    <row r="43" spans="2:84" ht="15" thickBot="1" x14ac:dyDescent="0.35">
      <c r="B43" s="22"/>
      <c r="C43" s="23"/>
      <c r="D43" s="23"/>
      <c r="E43" s="24"/>
      <c r="F43" s="25"/>
      <c r="H43" s="22"/>
      <c r="I43" s="23"/>
      <c r="J43" s="23"/>
      <c r="K43" s="24"/>
      <c r="L43" s="25"/>
      <c r="N43" s="22"/>
      <c r="O43" s="23"/>
      <c r="P43" s="23"/>
      <c r="Q43" s="24"/>
      <c r="R43" s="25"/>
      <c r="T43" s="22"/>
      <c r="U43" s="23"/>
      <c r="V43" s="23"/>
      <c r="W43" s="24"/>
      <c r="X43" s="25"/>
      <c r="AF43" s="19"/>
      <c r="AG43" s="20"/>
      <c r="AH43" s="20"/>
      <c r="AI43" s="21"/>
      <c r="AJ43" s="11">
        <f t="shared" si="28"/>
        <v>0</v>
      </c>
      <c r="AL43" s="19"/>
      <c r="AM43" s="20"/>
      <c r="AN43" s="20"/>
      <c r="AO43" s="21"/>
      <c r="AP43" s="11">
        <f t="shared" si="20"/>
        <v>0</v>
      </c>
      <c r="AR43" s="19"/>
      <c r="AS43" s="20"/>
      <c r="AT43" s="20"/>
      <c r="AU43" s="21"/>
      <c r="AV43" s="11">
        <f t="shared" si="21"/>
        <v>0</v>
      </c>
      <c r="AX43" s="19"/>
      <c r="AY43" s="20"/>
      <c r="AZ43" s="20"/>
      <c r="BA43" s="21"/>
      <c r="BB43" s="11">
        <f t="shared" si="22"/>
        <v>0</v>
      </c>
      <c r="BD43" s="19"/>
      <c r="BE43" s="20"/>
      <c r="BF43" s="20"/>
      <c r="BG43" s="21"/>
      <c r="BH43" s="11">
        <f t="shared" si="23"/>
        <v>0</v>
      </c>
      <c r="BJ43" s="19"/>
      <c r="BK43" s="20"/>
      <c r="BL43" s="20"/>
      <c r="BM43" s="21"/>
      <c r="BN43" s="11">
        <f t="shared" si="24"/>
        <v>0</v>
      </c>
      <c r="BP43" s="19"/>
      <c r="BQ43" s="20"/>
      <c r="BR43" s="20"/>
      <c r="BS43" s="21"/>
      <c r="BT43" s="11">
        <f t="shared" si="25"/>
        <v>0</v>
      </c>
      <c r="BV43" s="19"/>
      <c r="BW43" s="20"/>
      <c r="BX43" s="20"/>
      <c r="BY43" s="21"/>
      <c r="BZ43" s="11">
        <f t="shared" si="26"/>
        <v>0</v>
      </c>
      <c r="CB43" s="37"/>
      <c r="CC43" s="18"/>
      <c r="CD43" s="18"/>
      <c r="CE43" s="18"/>
      <c r="CF43" s="38">
        <f t="shared" si="29"/>
        <v>0</v>
      </c>
    </row>
    <row r="44" spans="2:84" ht="15" thickBot="1" x14ac:dyDescent="0.35">
      <c r="B44" s="1"/>
      <c r="C44" s="1"/>
      <c r="D44" s="72" t="s">
        <v>26</v>
      </c>
      <c r="E44" s="73"/>
      <c r="F44" s="26">
        <f>SUM(F28:F43)</f>
        <v>1.3294999999999999</v>
      </c>
      <c r="H44" s="1"/>
      <c r="I44" s="1"/>
      <c r="J44" s="72" t="s">
        <v>26</v>
      </c>
      <c r="K44" s="73"/>
      <c r="L44" s="26">
        <f>SUM(L28:L43)</f>
        <v>2.1794499999999997</v>
      </c>
      <c r="N44" s="1"/>
      <c r="O44" s="1"/>
      <c r="P44" s="72" t="s">
        <v>26</v>
      </c>
      <c r="Q44" s="73"/>
      <c r="R44" s="26">
        <f>SUM(R28:R43)</f>
        <v>1.5948999999999998</v>
      </c>
      <c r="T44" s="1"/>
      <c r="U44" s="1"/>
      <c r="V44" s="72" t="s">
        <v>26</v>
      </c>
      <c r="W44" s="73"/>
      <c r="X44" s="26">
        <f>SUM(X28:X43)</f>
        <v>5.6695000000000002</v>
      </c>
      <c r="AF44" s="22"/>
      <c r="AG44" s="23"/>
      <c r="AH44" s="23"/>
      <c r="AI44" s="24"/>
      <c r="AJ44" s="25"/>
      <c r="AL44" s="22"/>
      <c r="AM44" s="23"/>
      <c r="AN44" s="23"/>
      <c r="AO44" s="24"/>
      <c r="AP44" s="25"/>
      <c r="AR44" s="22"/>
      <c r="AS44" s="23"/>
      <c r="AT44" s="23"/>
      <c r="AU44" s="24"/>
      <c r="AV44" s="25"/>
      <c r="AX44" s="22"/>
      <c r="AY44" s="23"/>
      <c r="AZ44" s="23"/>
      <c r="BA44" s="24"/>
      <c r="BB44" s="25"/>
      <c r="BD44" s="22"/>
      <c r="BE44" s="23"/>
      <c r="BF44" s="23"/>
      <c r="BG44" s="24"/>
      <c r="BH44" s="25"/>
      <c r="BJ44" s="22"/>
      <c r="BK44" s="23"/>
      <c r="BL44" s="23"/>
      <c r="BM44" s="24"/>
      <c r="BN44" s="25"/>
      <c r="BP44" s="22"/>
      <c r="BQ44" s="23"/>
      <c r="BR44" s="23"/>
      <c r="BS44" s="24"/>
      <c r="BT44" s="25"/>
      <c r="BV44" s="22"/>
      <c r="BW44" s="23"/>
      <c r="BX44" s="23"/>
      <c r="BY44" s="24"/>
      <c r="BZ44" s="25"/>
      <c r="CB44" s="44"/>
      <c r="CC44" s="24"/>
      <c r="CD44" s="24"/>
      <c r="CE44" s="24"/>
      <c r="CF44" s="25"/>
    </row>
    <row r="45" spans="2:84" ht="15" thickBot="1" x14ac:dyDescent="0.35">
      <c r="B45" s="1"/>
      <c r="C45" s="1"/>
      <c r="D45" s="72" t="s">
        <v>27</v>
      </c>
      <c r="E45" s="73"/>
      <c r="F45" s="26">
        <f>+F44*1.145</f>
        <v>1.5222775</v>
      </c>
      <c r="H45" s="1"/>
      <c r="I45" s="1"/>
      <c r="J45" s="72" t="s">
        <v>27</v>
      </c>
      <c r="K45" s="73"/>
      <c r="L45" s="26">
        <f>+L44*1.145</f>
        <v>2.4954702499999994</v>
      </c>
      <c r="N45" s="1"/>
      <c r="O45" s="1"/>
      <c r="P45" s="72" t="s">
        <v>27</v>
      </c>
      <c r="Q45" s="73"/>
      <c r="R45" s="26">
        <f t="shared" ref="R45:R47" si="30">SUM(R29:R44)</f>
        <v>3.0297999999999998</v>
      </c>
      <c r="T45" s="1"/>
      <c r="U45" s="1"/>
      <c r="V45" s="72" t="s">
        <v>27</v>
      </c>
      <c r="W45" s="73"/>
      <c r="X45" s="26">
        <f>+X44*1.145</f>
        <v>6.4915775</v>
      </c>
      <c r="AF45" s="1"/>
      <c r="AG45" s="1"/>
      <c r="AH45" s="72" t="s">
        <v>26</v>
      </c>
      <c r="AI45" s="73"/>
      <c r="AJ45" s="26">
        <f>SUM(AJ29:AJ44)</f>
        <v>3.0457000000000001</v>
      </c>
      <c r="AL45" s="1"/>
      <c r="AM45" s="1"/>
      <c r="AN45" s="72" t="s">
        <v>26</v>
      </c>
      <c r="AO45" s="73"/>
      <c r="AP45" s="26">
        <f>SUM(AP29:AP44)</f>
        <v>6.0590000000000002</v>
      </c>
      <c r="AR45" s="1"/>
      <c r="AS45" s="1"/>
      <c r="AT45" s="72" t="s">
        <v>26</v>
      </c>
      <c r="AU45" s="73"/>
      <c r="AV45" s="26">
        <f>SUM(AV29:AV44)</f>
        <v>4.2121999999999993</v>
      </c>
      <c r="AX45" s="1"/>
      <c r="AY45" s="1"/>
      <c r="AZ45" s="72" t="s">
        <v>26</v>
      </c>
      <c r="BA45" s="73"/>
      <c r="BB45" s="26">
        <f>SUM(BB29:BB44)</f>
        <v>6.3640000000000008</v>
      </c>
      <c r="BD45" s="1"/>
      <c r="BE45" s="1"/>
      <c r="BF45" s="72" t="s">
        <v>26</v>
      </c>
      <c r="BG45" s="73"/>
      <c r="BH45" s="26">
        <f>SUM(BH29:BH44)</f>
        <v>3.34</v>
      </c>
      <c r="BJ45" s="1"/>
      <c r="BK45" s="1"/>
      <c r="BL45" s="72" t="s">
        <v>26</v>
      </c>
      <c r="BM45" s="73"/>
      <c r="BN45" s="26">
        <f>SUM(BN29:BN44)</f>
        <v>5.4540000000000006</v>
      </c>
      <c r="BP45" s="1"/>
      <c r="BQ45" s="1"/>
      <c r="BR45" s="72" t="s">
        <v>26</v>
      </c>
      <c r="BS45" s="73"/>
      <c r="BT45" s="26">
        <f>SUM(BT29:BT44)</f>
        <v>3.1464999999999996</v>
      </c>
      <c r="BV45" s="1"/>
      <c r="BW45" s="1"/>
      <c r="BX45" s="72" t="s">
        <v>26</v>
      </c>
      <c r="BY45" s="73"/>
      <c r="BZ45" s="26">
        <f>SUM(BZ29:BZ44)</f>
        <v>2.5760000000000001</v>
      </c>
      <c r="CB45" s="1"/>
      <c r="CC45" s="1"/>
      <c r="CD45" s="77" t="s">
        <v>26</v>
      </c>
      <c r="CE45" s="78"/>
      <c r="CF45" s="41">
        <f>SUM(CF29:CF44)</f>
        <v>18.2</v>
      </c>
    </row>
    <row r="46" spans="2:84" ht="15" thickBot="1" x14ac:dyDescent="0.35">
      <c r="B46" s="1"/>
      <c r="C46" s="1"/>
      <c r="D46" s="72" t="s">
        <v>28</v>
      </c>
      <c r="E46" s="73"/>
      <c r="F46" s="26">
        <v>6</v>
      </c>
      <c r="H46" s="1"/>
      <c r="I46" s="1"/>
      <c r="J46" s="72" t="s">
        <v>28</v>
      </c>
      <c r="K46" s="73"/>
      <c r="L46" s="26">
        <v>8</v>
      </c>
      <c r="N46" s="1"/>
      <c r="O46" s="1"/>
      <c r="P46" s="72" t="s">
        <v>28</v>
      </c>
      <c r="Q46" s="73"/>
      <c r="R46" s="26">
        <v>5</v>
      </c>
      <c r="T46" s="1"/>
      <c r="U46" s="1"/>
      <c r="V46" s="72" t="s">
        <v>28</v>
      </c>
      <c r="W46" s="73"/>
      <c r="X46" s="26">
        <v>25</v>
      </c>
      <c r="AF46" s="1"/>
      <c r="AG46" s="1"/>
      <c r="AH46" s="72" t="s">
        <v>27</v>
      </c>
      <c r="AI46" s="73"/>
      <c r="AJ46" s="26">
        <f>+AJ45*1.145</f>
        <v>3.4873265</v>
      </c>
      <c r="AL46" s="1"/>
      <c r="AM46" s="1"/>
      <c r="AN46" s="72" t="s">
        <v>27</v>
      </c>
      <c r="AO46" s="73"/>
      <c r="AP46" s="26">
        <f>+AP45*1.145</f>
        <v>6.9375550000000006</v>
      </c>
      <c r="AR46" s="1"/>
      <c r="AS46" s="1"/>
      <c r="AT46" s="72" t="s">
        <v>27</v>
      </c>
      <c r="AU46" s="73"/>
      <c r="AV46" s="26">
        <f>+AV45*1.145</f>
        <v>4.8229689999999996</v>
      </c>
      <c r="AX46" s="1"/>
      <c r="AY46" s="1"/>
      <c r="AZ46" s="72" t="s">
        <v>27</v>
      </c>
      <c r="BA46" s="73"/>
      <c r="BB46" s="26">
        <f>+BB45*1.145</f>
        <v>7.2867800000000011</v>
      </c>
      <c r="BD46" s="1"/>
      <c r="BE46" s="1"/>
      <c r="BF46" s="72" t="s">
        <v>27</v>
      </c>
      <c r="BG46" s="73"/>
      <c r="BH46" s="26">
        <f>+BH45*1.145</f>
        <v>3.8243</v>
      </c>
      <c r="BJ46" s="1"/>
      <c r="BK46" s="1"/>
      <c r="BL46" s="72" t="s">
        <v>27</v>
      </c>
      <c r="BM46" s="73"/>
      <c r="BN46" s="26">
        <f>+BN45*1.145</f>
        <v>6.2448300000000012</v>
      </c>
      <c r="BP46" s="1"/>
      <c r="BQ46" s="1"/>
      <c r="BR46" s="72" t="s">
        <v>27</v>
      </c>
      <c r="BS46" s="73"/>
      <c r="BT46" s="26">
        <f>+BT45*1.145</f>
        <v>3.6027424999999997</v>
      </c>
      <c r="BV46" s="1"/>
      <c r="BW46" s="1"/>
      <c r="BX46" s="72" t="s">
        <v>27</v>
      </c>
      <c r="BY46" s="73"/>
      <c r="BZ46" s="26">
        <f>+BZ45*1.145</f>
        <v>2.9495200000000001</v>
      </c>
      <c r="CB46" s="1"/>
      <c r="CC46" s="1"/>
      <c r="CD46" s="72" t="s">
        <v>27</v>
      </c>
      <c r="CE46" s="73"/>
      <c r="CF46" s="26">
        <f>+CF45*1.145</f>
        <v>20.838999999999999</v>
      </c>
    </row>
    <row r="47" spans="2:84" ht="15" thickBot="1" x14ac:dyDescent="0.35">
      <c r="B47" s="1"/>
      <c r="C47" s="1"/>
      <c r="D47" s="72" t="s">
        <v>29</v>
      </c>
      <c r="E47" s="74"/>
      <c r="F47" s="27">
        <f>F45/F46*100</f>
        <v>25.371291666666668</v>
      </c>
      <c r="H47" s="1"/>
      <c r="I47" s="1"/>
      <c r="J47" s="72" t="s">
        <v>29</v>
      </c>
      <c r="K47" s="74"/>
      <c r="L47" s="27">
        <f>L45/L46*100</f>
        <v>31.193378124999992</v>
      </c>
      <c r="N47" s="1"/>
      <c r="O47" s="1"/>
      <c r="P47" s="72" t="s">
        <v>29</v>
      </c>
      <c r="Q47" s="74"/>
      <c r="R47" s="26">
        <f t="shared" si="30"/>
        <v>9.9931999999999999</v>
      </c>
      <c r="T47" s="1"/>
      <c r="U47" s="1"/>
      <c r="V47" s="72" t="s">
        <v>29</v>
      </c>
      <c r="W47" s="74"/>
      <c r="X47" s="27">
        <f>X45/X46*100</f>
        <v>25.966309999999996</v>
      </c>
      <c r="AF47" s="1"/>
      <c r="AG47" s="1"/>
      <c r="AH47" s="72" t="s">
        <v>28</v>
      </c>
      <c r="AI47" s="73"/>
      <c r="AJ47" s="26">
        <v>13</v>
      </c>
      <c r="AL47" s="1"/>
      <c r="AM47" s="1"/>
      <c r="AN47" s="72" t="s">
        <v>28</v>
      </c>
      <c r="AO47" s="73"/>
      <c r="AP47" s="26">
        <v>26</v>
      </c>
      <c r="AR47" s="1"/>
      <c r="AS47" s="1"/>
      <c r="AT47" s="72" t="s">
        <v>28</v>
      </c>
      <c r="AU47" s="73"/>
      <c r="AV47" s="26">
        <v>18</v>
      </c>
      <c r="AX47" s="1"/>
      <c r="AY47" s="1"/>
      <c r="AZ47" s="72" t="s">
        <v>28</v>
      </c>
      <c r="BA47" s="73"/>
      <c r="BB47" s="26">
        <v>25</v>
      </c>
      <c r="BD47" s="1"/>
      <c r="BE47" s="1"/>
      <c r="BF47" s="72" t="s">
        <v>28</v>
      </c>
      <c r="BG47" s="73"/>
      <c r="BH47" s="26">
        <v>12</v>
      </c>
      <c r="BJ47" s="1"/>
      <c r="BK47" s="1"/>
      <c r="BL47" s="72" t="s">
        <v>28</v>
      </c>
      <c r="BM47" s="73"/>
      <c r="BN47" s="26">
        <v>23</v>
      </c>
      <c r="BP47" s="1"/>
      <c r="BQ47" s="1"/>
      <c r="BR47" s="72" t="s">
        <v>28</v>
      </c>
      <c r="BS47" s="73"/>
      <c r="BT47" s="26">
        <v>12</v>
      </c>
      <c r="BV47" s="1"/>
      <c r="BW47" s="1"/>
      <c r="BX47" s="72" t="s">
        <v>28</v>
      </c>
      <c r="BY47" s="73"/>
      <c r="BZ47" s="26">
        <v>12</v>
      </c>
      <c r="CB47" s="1"/>
      <c r="CC47" s="1"/>
      <c r="CD47" s="72" t="s">
        <v>28</v>
      </c>
      <c r="CE47" s="73"/>
      <c r="CF47" s="26">
        <v>36</v>
      </c>
    </row>
    <row r="48" spans="2:84" ht="15" thickBot="1" x14ac:dyDescent="0.35">
      <c r="B48" s="1"/>
      <c r="C48" s="1"/>
      <c r="D48" s="1"/>
      <c r="E48" s="28" t="s">
        <v>30</v>
      </c>
      <c r="F48" s="16">
        <f>100-F47</f>
        <v>74.628708333333336</v>
      </c>
      <c r="H48" s="1"/>
      <c r="I48" s="1"/>
      <c r="J48" s="1"/>
      <c r="K48" s="28" t="s">
        <v>30</v>
      </c>
      <c r="L48" s="16">
        <f>100-L47</f>
        <v>68.806621875000005</v>
      </c>
      <c r="M48" s="16"/>
      <c r="N48" s="16"/>
      <c r="O48" s="16"/>
      <c r="P48" s="16"/>
      <c r="Q48" s="16"/>
      <c r="R48" s="16">
        <f t="shared" ref="R48" si="31">100-R47</f>
        <v>90.006799999999998</v>
      </c>
      <c r="T48" s="1"/>
      <c r="U48" s="1"/>
      <c r="V48" s="1"/>
      <c r="W48" s="28" t="s">
        <v>30</v>
      </c>
      <c r="X48" s="16">
        <f>100-X47</f>
        <v>74.033690000000007</v>
      </c>
      <c r="AF48" s="1"/>
      <c r="AG48" s="1"/>
      <c r="AH48" s="72" t="s">
        <v>29</v>
      </c>
      <c r="AI48" s="74"/>
      <c r="AJ48" s="27">
        <f>AJ46/AJ47*100</f>
        <v>26.825588461538462</v>
      </c>
      <c r="AL48" s="1"/>
      <c r="AM48" s="1"/>
      <c r="AN48" s="72" t="s">
        <v>29</v>
      </c>
      <c r="AO48" s="74"/>
      <c r="AP48" s="27">
        <f>AP46/AP47*100</f>
        <v>26.682903846153849</v>
      </c>
      <c r="AR48" s="1"/>
      <c r="AS48" s="1"/>
      <c r="AT48" s="72" t="s">
        <v>29</v>
      </c>
      <c r="AU48" s="74"/>
      <c r="AV48" s="27">
        <f>AV46/AV47*100</f>
        <v>26.794272222222222</v>
      </c>
      <c r="AX48" s="1"/>
      <c r="AY48" s="1"/>
      <c r="AZ48" s="72" t="s">
        <v>29</v>
      </c>
      <c r="BA48" s="74"/>
      <c r="BB48" s="27">
        <f>BB46/BB47*100</f>
        <v>29.147120000000005</v>
      </c>
      <c r="BD48" s="1"/>
      <c r="BE48" s="1"/>
      <c r="BF48" s="72" t="s">
        <v>29</v>
      </c>
      <c r="BG48" s="74"/>
      <c r="BH48" s="27">
        <f>BH46/BH47*100</f>
        <v>31.869166666666665</v>
      </c>
      <c r="BJ48" s="1"/>
      <c r="BK48" s="1"/>
      <c r="BL48" s="72" t="s">
        <v>29</v>
      </c>
      <c r="BM48" s="74"/>
      <c r="BN48" s="27">
        <f>BN46/BN47*100</f>
        <v>27.151434782608703</v>
      </c>
      <c r="BP48" s="1"/>
      <c r="BQ48" s="1"/>
      <c r="BR48" s="72" t="s">
        <v>29</v>
      </c>
      <c r="BS48" s="74"/>
      <c r="BT48" s="27">
        <f>BT46/BT47*100</f>
        <v>30.022854166666662</v>
      </c>
      <c r="BV48" s="1"/>
      <c r="BW48" s="1"/>
      <c r="BX48" s="72" t="s">
        <v>29</v>
      </c>
      <c r="BY48" s="74"/>
      <c r="BZ48" s="27">
        <f>BZ46/BZ47*100</f>
        <v>24.579333333333334</v>
      </c>
      <c r="CB48" s="1"/>
      <c r="CC48" s="1"/>
      <c r="CD48" s="72" t="s">
        <v>29</v>
      </c>
      <c r="CE48" s="74"/>
      <c r="CF48" s="27">
        <f>CF46/CF47*100</f>
        <v>57.886111111111106</v>
      </c>
    </row>
    <row r="49" spans="2:91" x14ac:dyDescent="0.3">
      <c r="AF49" s="1"/>
      <c r="AG49" s="1"/>
      <c r="AH49" s="1"/>
      <c r="AI49" s="28" t="s">
        <v>30</v>
      </c>
      <c r="AJ49" s="16">
        <f>100-AJ48</f>
        <v>73.174411538461541</v>
      </c>
      <c r="AL49" s="1"/>
      <c r="AM49" s="1"/>
      <c r="AN49" s="1"/>
      <c r="AO49" s="28" t="s">
        <v>30</v>
      </c>
      <c r="AP49" s="16">
        <f>100-AP48</f>
        <v>73.317096153846151</v>
      </c>
      <c r="AR49" s="1"/>
      <c r="AS49" s="1"/>
      <c r="AT49" s="1"/>
      <c r="AU49" s="28" t="s">
        <v>30</v>
      </c>
      <c r="AV49" s="16">
        <f>100-AV48</f>
        <v>73.205727777777781</v>
      </c>
      <c r="AX49" s="1"/>
      <c r="AY49" s="1"/>
      <c r="AZ49" s="1"/>
      <c r="BA49" s="28" t="s">
        <v>30</v>
      </c>
      <c r="BB49" s="16">
        <f>100-BB48</f>
        <v>70.852879999999999</v>
      </c>
      <c r="BD49" s="1"/>
      <c r="BE49" s="1"/>
      <c r="BF49" s="1"/>
      <c r="BG49" s="28" t="s">
        <v>30</v>
      </c>
      <c r="BH49" s="16">
        <f>100-BH48</f>
        <v>68.130833333333328</v>
      </c>
      <c r="BJ49" s="1"/>
      <c r="BK49" s="1"/>
      <c r="BL49" s="1"/>
      <c r="BM49" s="28" t="s">
        <v>30</v>
      </c>
      <c r="BN49" s="16">
        <f>100-BN48</f>
        <v>72.848565217391297</v>
      </c>
      <c r="BP49" s="1"/>
      <c r="BQ49" s="1"/>
      <c r="BR49" s="1"/>
      <c r="BS49" s="28" t="s">
        <v>30</v>
      </c>
      <c r="BT49" s="16">
        <f>100-BT48</f>
        <v>69.977145833333338</v>
      </c>
      <c r="BV49" s="1"/>
      <c r="BW49" s="1"/>
      <c r="BX49" s="1"/>
      <c r="BY49" s="28" t="s">
        <v>30</v>
      </c>
      <c r="BZ49" s="16">
        <f>100-BZ48</f>
        <v>75.420666666666662</v>
      </c>
      <c r="CB49" s="1"/>
      <c r="CC49" s="1"/>
      <c r="CD49" s="1"/>
      <c r="CE49" s="28" t="s">
        <v>30</v>
      </c>
      <c r="CF49" s="16">
        <f>100-CF48</f>
        <v>42.113888888888894</v>
      </c>
    </row>
    <row r="50" spans="2:91" ht="15" thickBot="1" x14ac:dyDescent="0.35"/>
    <row r="51" spans="2:91" ht="15" thickBot="1" x14ac:dyDescent="0.35">
      <c r="B51" s="79" t="s">
        <v>362</v>
      </c>
      <c r="C51" s="80"/>
      <c r="D51" s="80"/>
      <c r="E51" s="80"/>
      <c r="F51" s="81"/>
      <c r="H51" s="69" t="s">
        <v>202</v>
      </c>
      <c r="I51" s="70"/>
      <c r="J51" s="70"/>
      <c r="K51" s="70"/>
      <c r="L51" s="71"/>
      <c r="N51" s="79" t="s">
        <v>357</v>
      </c>
      <c r="O51" s="80"/>
      <c r="P51" s="80"/>
      <c r="Q51" s="80"/>
      <c r="R51" s="81"/>
      <c r="T51" s="69" t="s">
        <v>206</v>
      </c>
      <c r="U51" s="70"/>
      <c r="V51" s="70"/>
      <c r="W51" s="70"/>
      <c r="X51" s="71"/>
      <c r="Z51" s="79" t="s">
        <v>267</v>
      </c>
      <c r="AA51" s="80"/>
      <c r="AB51" s="80"/>
      <c r="AC51" s="80"/>
      <c r="AD51" s="81"/>
      <c r="AF51" s="79" t="s">
        <v>273</v>
      </c>
      <c r="AG51" s="80"/>
      <c r="AH51" s="80"/>
      <c r="AI51" s="80"/>
      <c r="AJ51" s="81"/>
    </row>
    <row r="52" spans="2:91" ht="15" thickBot="1" x14ac:dyDescent="0.35">
      <c r="B52" s="2" t="s">
        <v>3</v>
      </c>
      <c r="C52" s="3" t="s">
        <v>4</v>
      </c>
      <c r="D52" s="3" t="s">
        <v>5</v>
      </c>
      <c r="E52" s="4" t="s">
        <v>6</v>
      </c>
      <c r="F52" s="5" t="s">
        <v>7</v>
      </c>
      <c r="H52" s="2" t="s">
        <v>3</v>
      </c>
      <c r="I52" s="3" t="s">
        <v>4</v>
      </c>
      <c r="J52" s="3" t="s">
        <v>5</v>
      </c>
      <c r="K52" s="4" t="s">
        <v>6</v>
      </c>
      <c r="L52" s="5" t="s">
        <v>7</v>
      </c>
      <c r="N52" s="2" t="s">
        <v>3</v>
      </c>
      <c r="O52" s="3" t="s">
        <v>4</v>
      </c>
      <c r="P52" s="3" t="s">
        <v>5</v>
      </c>
      <c r="Q52" s="4" t="s">
        <v>6</v>
      </c>
      <c r="R52" s="5" t="s">
        <v>7</v>
      </c>
      <c r="T52" s="2" t="s">
        <v>3</v>
      </c>
      <c r="U52" s="3" t="s">
        <v>4</v>
      </c>
      <c r="V52" s="3" t="s">
        <v>5</v>
      </c>
      <c r="W52" s="4" t="s">
        <v>6</v>
      </c>
      <c r="X52" s="5" t="s">
        <v>7</v>
      </c>
      <c r="Z52" s="2" t="s">
        <v>3</v>
      </c>
      <c r="AA52" s="3" t="s">
        <v>4</v>
      </c>
      <c r="AB52" s="3" t="s">
        <v>5</v>
      </c>
      <c r="AC52" s="4" t="s">
        <v>6</v>
      </c>
      <c r="AD52" s="5" t="s">
        <v>7</v>
      </c>
      <c r="AF52" s="2" t="s">
        <v>3</v>
      </c>
      <c r="AG52" s="3" t="s">
        <v>4</v>
      </c>
      <c r="AH52" s="3" t="s">
        <v>5</v>
      </c>
      <c r="AI52" s="4" t="s">
        <v>6</v>
      </c>
      <c r="AJ52" s="5" t="s">
        <v>7</v>
      </c>
      <c r="AM52" s="69" t="s">
        <v>259</v>
      </c>
      <c r="AN52" s="70"/>
      <c r="AO52" s="70"/>
      <c r="AP52" s="70"/>
      <c r="AQ52" s="71"/>
      <c r="AS52" s="69" t="s">
        <v>259</v>
      </c>
      <c r="AT52" s="70"/>
      <c r="AU52" s="70"/>
      <c r="AV52" s="70"/>
      <c r="AW52" s="71"/>
      <c r="BD52" s="69" t="s">
        <v>271</v>
      </c>
      <c r="BE52" s="70"/>
      <c r="BF52" s="70"/>
      <c r="BG52" s="70"/>
      <c r="BH52" s="71"/>
      <c r="BK52" s="69" t="s">
        <v>419</v>
      </c>
      <c r="BL52" s="70"/>
      <c r="BM52" s="70"/>
      <c r="BN52" s="70"/>
      <c r="BO52" s="71"/>
      <c r="BQ52" s="69" t="s">
        <v>454</v>
      </c>
      <c r="BR52" s="70"/>
      <c r="BS52" s="70"/>
      <c r="BT52" s="70"/>
      <c r="BU52" s="71"/>
      <c r="BW52" s="69" t="s">
        <v>455</v>
      </c>
      <c r="BX52" s="70"/>
      <c r="BY52" s="70"/>
      <c r="BZ52" s="70"/>
      <c r="CA52" s="71"/>
      <c r="CC52" s="69" t="s">
        <v>464</v>
      </c>
      <c r="CD52" s="70"/>
      <c r="CE52" s="70"/>
      <c r="CF52" s="70"/>
      <c r="CG52" s="71"/>
      <c r="CI52" s="69" t="s">
        <v>465</v>
      </c>
      <c r="CJ52" s="70"/>
      <c r="CK52" s="70"/>
      <c r="CL52" s="70"/>
      <c r="CM52" s="71"/>
    </row>
    <row r="53" spans="2:91" ht="15" thickBot="1" x14ac:dyDescent="0.35">
      <c r="B53" s="15" t="s">
        <v>179</v>
      </c>
      <c r="C53" s="16"/>
      <c r="D53" s="17">
        <v>2.1</v>
      </c>
      <c r="E53" s="18">
        <v>0</v>
      </c>
      <c r="F53" s="11">
        <f t="shared" ref="F53:F55" si="32">+E53*D53</f>
        <v>0</v>
      </c>
      <c r="H53" s="7" t="s">
        <v>198</v>
      </c>
      <c r="I53" s="8" t="s">
        <v>34</v>
      </c>
      <c r="J53" s="9">
        <v>0.16</v>
      </c>
      <c r="K53" s="10">
        <v>1</v>
      </c>
      <c r="L53" s="11">
        <f t="shared" ref="L53:L67" si="33">+K53*J53</f>
        <v>0.16</v>
      </c>
      <c r="N53" s="15" t="s">
        <v>269</v>
      </c>
      <c r="O53" s="16" t="s">
        <v>11</v>
      </c>
      <c r="P53" s="17">
        <v>2.85</v>
      </c>
      <c r="Q53" s="18">
        <v>0.02</v>
      </c>
      <c r="R53" s="11">
        <f t="shared" ref="R53:R59" si="34">+Q53*P53</f>
        <v>5.7000000000000002E-2</v>
      </c>
      <c r="T53" s="7" t="s">
        <v>121</v>
      </c>
      <c r="U53" s="8" t="s">
        <v>11</v>
      </c>
      <c r="V53" s="9">
        <v>27.51</v>
      </c>
      <c r="W53" s="10">
        <v>0.25</v>
      </c>
      <c r="X53" s="11">
        <f t="shared" ref="X53:X55" si="35">+W53*V53</f>
        <v>6.8775000000000004</v>
      </c>
      <c r="Z53" s="7" t="s">
        <v>121</v>
      </c>
      <c r="AA53" s="8" t="s">
        <v>11</v>
      </c>
      <c r="AB53" s="9">
        <v>27.51</v>
      </c>
      <c r="AC53" s="10">
        <v>0.2</v>
      </c>
      <c r="AD53" s="11">
        <f t="shared" ref="AD53:AD57" si="36">+AC53*AB53</f>
        <v>5.5020000000000007</v>
      </c>
      <c r="AF53" s="7" t="s">
        <v>274</v>
      </c>
      <c r="AG53" s="8" t="s">
        <v>11</v>
      </c>
      <c r="AH53" s="9">
        <v>1.66</v>
      </c>
      <c r="AI53" s="10">
        <v>0.06</v>
      </c>
      <c r="AJ53" s="11">
        <f t="shared" ref="AJ53:AJ60" si="37">+AI53*AH53</f>
        <v>9.9599999999999994E-2</v>
      </c>
      <c r="AM53" s="2" t="s">
        <v>3</v>
      </c>
      <c r="AN53" s="3" t="s">
        <v>4</v>
      </c>
      <c r="AO53" s="3" t="s">
        <v>5</v>
      </c>
      <c r="AP53" s="4" t="s">
        <v>6</v>
      </c>
      <c r="AQ53" s="5" t="s">
        <v>7</v>
      </c>
      <c r="AS53" s="2" t="s">
        <v>3</v>
      </c>
      <c r="AT53" s="3" t="s">
        <v>4</v>
      </c>
      <c r="AU53" s="3" t="s">
        <v>5</v>
      </c>
      <c r="AV53" s="4" t="s">
        <v>6</v>
      </c>
      <c r="AW53" s="5" t="s">
        <v>7</v>
      </c>
      <c r="BD53" s="2" t="s">
        <v>3</v>
      </c>
      <c r="BE53" s="3" t="s">
        <v>4</v>
      </c>
      <c r="BF53" s="3" t="s">
        <v>5</v>
      </c>
      <c r="BG53" s="4" t="s">
        <v>6</v>
      </c>
      <c r="BH53" s="5"/>
      <c r="BK53" s="2" t="s">
        <v>3</v>
      </c>
      <c r="BL53" s="3" t="s">
        <v>4</v>
      </c>
      <c r="BM53" s="3" t="s">
        <v>5</v>
      </c>
      <c r="BN53" s="4" t="s">
        <v>6</v>
      </c>
      <c r="BO53" s="5"/>
      <c r="BQ53" s="2" t="s">
        <v>3</v>
      </c>
      <c r="BR53" s="3" t="s">
        <v>4</v>
      </c>
      <c r="BS53" s="3" t="s">
        <v>5</v>
      </c>
      <c r="BT53" s="4" t="s">
        <v>6</v>
      </c>
      <c r="BU53" s="5" t="s">
        <v>7</v>
      </c>
      <c r="BW53" s="2" t="s">
        <v>3</v>
      </c>
      <c r="BX53" s="3" t="s">
        <v>4</v>
      </c>
      <c r="BY53" s="3" t="s">
        <v>5</v>
      </c>
      <c r="BZ53" s="4" t="s">
        <v>6</v>
      </c>
      <c r="CA53" s="5" t="s">
        <v>7</v>
      </c>
      <c r="CC53" s="2" t="s">
        <v>3</v>
      </c>
      <c r="CD53" s="3" t="s">
        <v>4</v>
      </c>
      <c r="CE53" s="3" t="s">
        <v>5</v>
      </c>
      <c r="CF53" s="4" t="s">
        <v>6</v>
      </c>
      <c r="CG53" s="5" t="s">
        <v>7</v>
      </c>
      <c r="CI53" s="2" t="s">
        <v>3</v>
      </c>
      <c r="CJ53" s="3" t="s">
        <v>4</v>
      </c>
      <c r="CK53" s="3" t="s">
        <v>5</v>
      </c>
      <c r="CL53" s="4" t="s">
        <v>6</v>
      </c>
      <c r="CM53" s="5" t="s">
        <v>7</v>
      </c>
    </row>
    <row r="54" spans="2:91" x14ac:dyDescent="0.3">
      <c r="B54" s="15" t="s">
        <v>469</v>
      </c>
      <c r="C54" s="16"/>
      <c r="D54" s="39">
        <v>25.92</v>
      </c>
      <c r="E54" s="18">
        <v>0.05</v>
      </c>
      <c r="F54" s="11">
        <f t="shared" si="32"/>
        <v>1.2960000000000003</v>
      </c>
      <c r="H54" s="15" t="s">
        <v>258</v>
      </c>
      <c r="I54" s="16" t="s">
        <v>128</v>
      </c>
      <c r="J54" s="17">
        <v>27</v>
      </c>
      <c r="K54" s="18">
        <v>0.06</v>
      </c>
      <c r="L54" s="11">
        <f t="shared" si="33"/>
        <v>1.6199999999999999</v>
      </c>
      <c r="N54" s="15" t="s">
        <v>270</v>
      </c>
      <c r="O54" s="16" t="s">
        <v>11</v>
      </c>
      <c r="P54" s="39">
        <v>3</v>
      </c>
      <c r="Q54" s="18">
        <v>0.02</v>
      </c>
      <c r="R54" s="11">
        <f t="shared" si="34"/>
        <v>0.06</v>
      </c>
      <c r="T54" s="15" t="s">
        <v>266</v>
      </c>
      <c r="U54" s="16" t="s">
        <v>11</v>
      </c>
      <c r="V54" s="17">
        <v>5</v>
      </c>
      <c r="W54" s="18">
        <v>0.1</v>
      </c>
      <c r="X54" s="11">
        <f t="shared" si="35"/>
        <v>0.5</v>
      </c>
      <c r="Z54" s="15" t="s">
        <v>199</v>
      </c>
      <c r="AA54" s="16" t="s">
        <v>11</v>
      </c>
      <c r="AB54" s="17">
        <v>0.6</v>
      </c>
      <c r="AC54" s="18">
        <v>0.5</v>
      </c>
      <c r="AD54" s="11">
        <f t="shared" si="36"/>
        <v>0.3</v>
      </c>
      <c r="AF54" s="15" t="s">
        <v>275</v>
      </c>
      <c r="AG54" s="16" t="s">
        <v>11</v>
      </c>
      <c r="AH54" s="17">
        <v>13</v>
      </c>
      <c r="AI54" s="18">
        <v>0.05</v>
      </c>
      <c r="AJ54" s="11">
        <f t="shared" si="37"/>
        <v>0.65</v>
      </c>
      <c r="AM54" s="7" t="s">
        <v>124</v>
      </c>
      <c r="AN54" s="8" t="s">
        <v>34</v>
      </c>
      <c r="AO54" s="9">
        <v>17.5</v>
      </c>
      <c r="AP54" s="10">
        <v>0.08</v>
      </c>
      <c r="AQ54" s="11">
        <f t="shared" ref="AQ54:AQ68" si="38">+AP54*AO54</f>
        <v>1.4000000000000001</v>
      </c>
      <c r="AS54" s="7" t="s">
        <v>124</v>
      </c>
      <c r="AT54" s="8" t="s">
        <v>34</v>
      </c>
      <c r="AU54" s="9">
        <v>12</v>
      </c>
      <c r="AV54" s="10">
        <v>0.2</v>
      </c>
      <c r="AW54" s="11">
        <f t="shared" ref="AW54:AW68" si="39">+AV54*AU54</f>
        <v>2.4000000000000004</v>
      </c>
      <c r="BD54" s="7" t="s">
        <v>278</v>
      </c>
      <c r="BE54" s="8" t="s">
        <v>34</v>
      </c>
      <c r="BF54" s="9">
        <v>17.5</v>
      </c>
      <c r="BG54" s="10">
        <v>0.25</v>
      </c>
      <c r="BH54" s="11">
        <f t="shared" ref="BH54:BH68" si="40">+BG54*BF54</f>
        <v>4.375</v>
      </c>
      <c r="BK54" s="7" t="s">
        <v>419</v>
      </c>
      <c r="BL54" s="8" t="s">
        <v>34</v>
      </c>
      <c r="BM54" s="9">
        <v>11.75</v>
      </c>
      <c r="BN54" s="10">
        <v>0.15</v>
      </c>
      <c r="BO54" s="11">
        <f t="shared" ref="BO54:BO68" si="41">+BN54*BM54</f>
        <v>1.7625</v>
      </c>
      <c r="BQ54" s="7" t="s">
        <v>134</v>
      </c>
      <c r="BR54" s="8" t="s">
        <v>11</v>
      </c>
      <c r="BS54" s="9">
        <v>5.34</v>
      </c>
      <c r="BT54" s="10"/>
      <c r="BU54" s="11">
        <f t="shared" ref="BU54:BU68" si="42">+BT54*BS54</f>
        <v>0</v>
      </c>
      <c r="CC54" s="7" t="s">
        <v>468</v>
      </c>
      <c r="CD54" s="8" t="s">
        <v>11</v>
      </c>
      <c r="CE54" s="9">
        <v>17.5</v>
      </c>
      <c r="CF54" s="10">
        <v>0.1</v>
      </c>
      <c r="CG54" s="11">
        <f t="shared" ref="CG54:CG78" si="43">+CF54*CE54</f>
        <v>1.75</v>
      </c>
      <c r="CI54" s="7" t="s">
        <v>124</v>
      </c>
      <c r="CJ54" s="8" t="s">
        <v>11</v>
      </c>
      <c r="CK54" s="9">
        <v>17.5</v>
      </c>
      <c r="CL54" s="10">
        <v>0.2</v>
      </c>
      <c r="CM54" s="11">
        <f t="shared" ref="CM54:CM68" si="44">+CL54*CK54</f>
        <v>3.5</v>
      </c>
    </row>
    <row r="55" spans="2:91" x14ac:dyDescent="0.3">
      <c r="B55" s="15" t="s">
        <v>179</v>
      </c>
      <c r="C55" s="16"/>
      <c r="D55" s="17">
        <v>2.1</v>
      </c>
      <c r="E55" s="18">
        <v>0.05</v>
      </c>
      <c r="F55" s="11">
        <f t="shared" si="32"/>
        <v>0.10500000000000001</v>
      </c>
      <c r="H55" s="15"/>
      <c r="I55" s="16"/>
      <c r="J55" s="17"/>
      <c r="K55" s="18"/>
      <c r="L55" s="11"/>
      <c r="N55" s="15" t="s">
        <v>179</v>
      </c>
      <c r="O55" s="16"/>
      <c r="P55" s="17">
        <v>2.1</v>
      </c>
      <c r="Q55" s="18">
        <v>0.05</v>
      </c>
      <c r="R55" s="11">
        <f t="shared" si="34"/>
        <v>0.10500000000000001</v>
      </c>
      <c r="T55" s="15" t="s">
        <v>246</v>
      </c>
      <c r="U55" s="16" t="s">
        <v>11</v>
      </c>
      <c r="V55" s="17">
        <v>3</v>
      </c>
      <c r="W55" s="18">
        <v>0.1</v>
      </c>
      <c r="X55" s="11">
        <f t="shared" si="35"/>
        <v>0.30000000000000004</v>
      </c>
      <c r="Z55" s="15" t="s">
        <v>177</v>
      </c>
      <c r="AA55" s="16" t="s">
        <v>11</v>
      </c>
      <c r="AB55" s="17">
        <v>2.1</v>
      </c>
      <c r="AC55" s="18">
        <v>0.04</v>
      </c>
      <c r="AD55" s="11">
        <f t="shared" si="36"/>
        <v>8.4000000000000005E-2</v>
      </c>
      <c r="AF55" s="15" t="s">
        <v>276</v>
      </c>
      <c r="AG55" s="16" t="s">
        <v>11</v>
      </c>
      <c r="AH55" s="17">
        <v>2.1</v>
      </c>
      <c r="AI55" s="18">
        <v>0.04</v>
      </c>
      <c r="AJ55" s="11">
        <f t="shared" si="37"/>
        <v>8.4000000000000005E-2</v>
      </c>
      <c r="AM55" s="15" t="s">
        <v>260</v>
      </c>
      <c r="AN55" s="16" t="s">
        <v>9</v>
      </c>
      <c r="AO55" s="17">
        <v>5</v>
      </c>
      <c r="AP55" s="18">
        <v>0.06</v>
      </c>
      <c r="AQ55" s="11">
        <f t="shared" si="38"/>
        <v>0.3</v>
      </c>
      <c r="AS55" s="15" t="s">
        <v>264</v>
      </c>
      <c r="AT55" s="16" t="s">
        <v>9</v>
      </c>
      <c r="AU55" s="17">
        <v>3</v>
      </c>
      <c r="AV55" s="18">
        <v>0.1</v>
      </c>
      <c r="AW55" s="11">
        <f t="shared" si="39"/>
        <v>0.30000000000000004</v>
      </c>
      <c r="BD55" s="15"/>
      <c r="BE55" s="16"/>
      <c r="BF55" s="17">
        <v>0.15</v>
      </c>
      <c r="BG55" s="18">
        <v>1</v>
      </c>
      <c r="BH55" s="11">
        <f t="shared" si="40"/>
        <v>0.15</v>
      </c>
      <c r="BK55" s="15" t="s">
        <v>245</v>
      </c>
      <c r="BL55" s="16"/>
      <c r="BM55" s="17">
        <v>0.15</v>
      </c>
      <c r="BN55" s="18"/>
      <c r="BO55" s="11">
        <f t="shared" si="41"/>
        <v>0</v>
      </c>
      <c r="BQ55" s="15" t="s">
        <v>456</v>
      </c>
      <c r="BR55" s="16" t="s">
        <v>11</v>
      </c>
      <c r="BS55" s="17">
        <v>2.35</v>
      </c>
      <c r="BT55" s="18"/>
      <c r="BU55" s="11">
        <f t="shared" si="42"/>
        <v>0</v>
      </c>
      <c r="CC55" s="15" t="s">
        <v>461</v>
      </c>
      <c r="CD55" s="16" t="s">
        <v>11</v>
      </c>
      <c r="CE55" s="17">
        <v>2.5</v>
      </c>
      <c r="CF55" s="18">
        <v>0.1</v>
      </c>
      <c r="CG55" s="11">
        <f t="shared" si="43"/>
        <v>0.25</v>
      </c>
      <c r="CI55" s="15" t="s">
        <v>417</v>
      </c>
      <c r="CJ55" s="16" t="s">
        <v>11</v>
      </c>
      <c r="CK55" s="17">
        <v>2.5</v>
      </c>
      <c r="CL55" s="18">
        <v>0.04</v>
      </c>
      <c r="CM55" s="11">
        <f t="shared" si="44"/>
        <v>0.1</v>
      </c>
    </row>
    <row r="56" spans="2:91" x14ac:dyDescent="0.3">
      <c r="B56" s="15" t="s">
        <v>360</v>
      </c>
      <c r="C56" s="16"/>
      <c r="D56" s="17">
        <v>3</v>
      </c>
      <c r="E56" s="18">
        <v>0.1</v>
      </c>
      <c r="F56" s="11">
        <f t="shared" ref="F56:F64" si="45">+E56*D56</f>
        <v>0.30000000000000004</v>
      </c>
      <c r="H56" s="15" t="s">
        <v>204</v>
      </c>
      <c r="I56" s="16" t="s">
        <v>11</v>
      </c>
      <c r="J56" s="17">
        <v>3.83</v>
      </c>
      <c r="K56" s="18">
        <v>1.4999999999999999E-2</v>
      </c>
      <c r="L56" s="11">
        <f t="shared" si="33"/>
        <v>5.7450000000000001E-2</v>
      </c>
      <c r="N56" s="15" t="s">
        <v>141</v>
      </c>
      <c r="O56" s="16"/>
      <c r="P56" s="17">
        <v>0.6</v>
      </c>
      <c r="Q56" s="18">
        <v>0.5</v>
      </c>
      <c r="R56" s="11">
        <f t="shared" si="34"/>
        <v>0.3</v>
      </c>
      <c r="T56" s="15"/>
      <c r="U56" s="16"/>
      <c r="V56" s="17"/>
      <c r="W56" s="18"/>
      <c r="X56" s="11"/>
      <c r="Z56" s="15" t="s">
        <v>268</v>
      </c>
      <c r="AA56" s="16" t="s">
        <v>11</v>
      </c>
      <c r="AB56" s="17">
        <v>1</v>
      </c>
      <c r="AC56" s="18">
        <v>0.1</v>
      </c>
      <c r="AD56" s="11">
        <f t="shared" si="36"/>
        <v>0.1</v>
      </c>
      <c r="AF56" s="15" t="s">
        <v>209</v>
      </c>
      <c r="AG56" s="16" t="s">
        <v>11</v>
      </c>
      <c r="AH56" s="17">
        <v>3.3</v>
      </c>
      <c r="AI56" s="18">
        <v>0.06</v>
      </c>
      <c r="AJ56" s="11">
        <f t="shared" si="37"/>
        <v>0.19799999999999998</v>
      </c>
      <c r="AM56" s="15" t="s">
        <v>261</v>
      </c>
      <c r="AN56" s="16" t="s">
        <v>9</v>
      </c>
      <c r="AO56" s="17">
        <v>2.25</v>
      </c>
      <c r="AP56" s="18">
        <v>0.04</v>
      </c>
      <c r="AQ56" s="11">
        <f t="shared" si="38"/>
        <v>0.09</v>
      </c>
      <c r="AS56" s="15" t="s">
        <v>265</v>
      </c>
      <c r="AT56" s="16" t="s">
        <v>9</v>
      </c>
      <c r="AU56" s="17"/>
      <c r="AV56" s="18">
        <v>0.14000000000000001</v>
      </c>
      <c r="AW56" s="11">
        <f t="shared" si="39"/>
        <v>0</v>
      </c>
      <c r="BD56" s="15" t="s">
        <v>156</v>
      </c>
      <c r="BE56" s="16"/>
      <c r="BF56" s="17">
        <v>1.8</v>
      </c>
      <c r="BG56" s="18">
        <v>0.01</v>
      </c>
      <c r="BH56" s="11">
        <f t="shared" si="40"/>
        <v>1.8000000000000002E-2</v>
      </c>
      <c r="BK56" s="15" t="s">
        <v>156</v>
      </c>
      <c r="BL56" s="16"/>
      <c r="BM56" s="17">
        <v>1.8</v>
      </c>
      <c r="BN56" s="18">
        <v>0.01</v>
      </c>
      <c r="BO56" s="11">
        <f t="shared" si="41"/>
        <v>1.8000000000000002E-2</v>
      </c>
      <c r="BQ56" s="15" t="s">
        <v>457</v>
      </c>
      <c r="BR56" s="16" t="s">
        <v>128</v>
      </c>
      <c r="BS56" s="17">
        <v>1.1000000000000001</v>
      </c>
      <c r="BT56" s="18"/>
      <c r="BU56" s="11">
        <f t="shared" si="42"/>
        <v>0</v>
      </c>
      <c r="CC56" s="15" t="s">
        <v>8</v>
      </c>
      <c r="CD56" s="16" t="s">
        <v>11</v>
      </c>
      <c r="CE56" s="17">
        <v>9.3800000000000008</v>
      </c>
      <c r="CF56" s="18">
        <v>0.05</v>
      </c>
      <c r="CG56" s="11">
        <f t="shared" si="43"/>
        <v>0.46900000000000008</v>
      </c>
      <c r="CI56" s="15" t="s">
        <v>10</v>
      </c>
      <c r="CJ56" s="16" t="s">
        <v>11</v>
      </c>
      <c r="CK56" s="17">
        <v>9.3800000000000008</v>
      </c>
      <c r="CL56" s="18">
        <v>0.01</v>
      </c>
      <c r="CM56" s="11">
        <f t="shared" si="44"/>
        <v>9.3800000000000008E-2</v>
      </c>
    </row>
    <row r="57" spans="2:91" x14ac:dyDescent="0.3">
      <c r="B57" s="15" t="s">
        <v>204</v>
      </c>
      <c r="C57" s="16" t="s">
        <v>11</v>
      </c>
      <c r="D57" s="17">
        <v>3.83</v>
      </c>
      <c r="E57" s="18">
        <v>1.4999999999999999E-2</v>
      </c>
      <c r="F57" s="11">
        <f t="shared" si="45"/>
        <v>5.7450000000000001E-2</v>
      </c>
      <c r="H57" s="15" t="s">
        <v>257</v>
      </c>
      <c r="I57" s="16" t="s">
        <v>44</v>
      </c>
      <c r="J57" s="17">
        <v>1</v>
      </c>
      <c r="K57" s="18">
        <v>0.1</v>
      </c>
      <c r="L57" s="11">
        <f t="shared" si="33"/>
        <v>0.1</v>
      </c>
      <c r="N57" s="15" t="s">
        <v>204</v>
      </c>
      <c r="O57" s="16" t="s">
        <v>11</v>
      </c>
      <c r="P57" s="17">
        <v>3.83</v>
      </c>
      <c r="Q57" s="18">
        <v>1.4999999999999999E-2</v>
      </c>
      <c r="R57" s="11">
        <f t="shared" si="34"/>
        <v>5.7450000000000001E-2</v>
      </c>
      <c r="T57" s="15"/>
      <c r="U57" s="16"/>
      <c r="V57" s="17"/>
      <c r="W57" s="18"/>
      <c r="X57" s="11"/>
      <c r="Z57" s="15" t="s">
        <v>269</v>
      </c>
      <c r="AA57" s="16" t="s">
        <v>11</v>
      </c>
      <c r="AB57" s="17">
        <v>2.85</v>
      </c>
      <c r="AC57" s="18">
        <v>0.02</v>
      </c>
      <c r="AD57" s="11">
        <f t="shared" si="36"/>
        <v>5.7000000000000002E-2</v>
      </c>
      <c r="AF57" s="15" t="s">
        <v>269</v>
      </c>
      <c r="AG57" s="16" t="s">
        <v>11</v>
      </c>
      <c r="AH57" s="17">
        <v>2.85</v>
      </c>
      <c r="AI57" s="18">
        <v>0.02</v>
      </c>
      <c r="AJ57" s="11">
        <f t="shared" si="37"/>
        <v>5.7000000000000002E-2</v>
      </c>
      <c r="AM57" s="15" t="s">
        <v>262</v>
      </c>
      <c r="AN57" s="16" t="s">
        <v>9</v>
      </c>
      <c r="AO57" s="17">
        <v>2</v>
      </c>
      <c r="AP57" s="18">
        <v>0.08</v>
      </c>
      <c r="AQ57" s="11">
        <f t="shared" si="38"/>
        <v>0.16</v>
      </c>
      <c r="AS57" s="15" t="s">
        <v>133</v>
      </c>
      <c r="AT57" s="16" t="s">
        <v>9</v>
      </c>
      <c r="AU57" s="17">
        <v>11</v>
      </c>
      <c r="AV57" s="18">
        <v>0.04</v>
      </c>
      <c r="AW57" s="11">
        <f t="shared" si="39"/>
        <v>0.44</v>
      </c>
      <c r="BD57" s="15" t="s">
        <v>167</v>
      </c>
      <c r="BE57" s="16"/>
      <c r="BF57" s="17">
        <v>11</v>
      </c>
      <c r="BG57" s="18">
        <v>2E-3</v>
      </c>
      <c r="BH57" s="11">
        <f t="shared" si="40"/>
        <v>2.1999999999999999E-2</v>
      </c>
      <c r="BK57" s="15" t="s">
        <v>167</v>
      </c>
      <c r="BL57" s="16"/>
      <c r="BM57" s="17">
        <v>11</v>
      </c>
      <c r="BN57" s="18">
        <v>2E-3</v>
      </c>
      <c r="BO57" s="11">
        <f t="shared" si="41"/>
        <v>2.1999999999999999E-2</v>
      </c>
      <c r="BQ57" s="15" t="s">
        <v>458</v>
      </c>
      <c r="BR57" s="16" t="s">
        <v>11</v>
      </c>
      <c r="BS57" s="17">
        <v>3.8319999999999999</v>
      </c>
      <c r="BT57" s="18"/>
      <c r="BU57" s="11">
        <f t="shared" si="42"/>
        <v>0</v>
      </c>
      <c r="CC57" s="15" t="s">
        <v>462</v>
      </c>
      <c r="CD57" s="16" t="s">
        <v>11</v>
      </c>
      <c r="CE57" s="17">
        <v>11</v>
      </c>
      <c r="CF57" s="18">
        <v>0.1</v>
      </c>
      <c r="CG57" s="11">
        <f t="shared" si="43"/>
        <v>1.1000000000000001</v>
      </c>
      <c r="CI57" s="15" t="s">
        <v>150</v>
      </c>
      <c r="CJ57" s="16" t="s">
        <v>11</v>
      </c>
      <c r="CK57" s="17">
        <v>11</v>
      </c>
      <c r="CL57" s="18">
        <v>0.08</v>
      </c>
      <c r="CM57" s="11">
        <f t="shared" si="44"/>
        <v>0.88</v>
      </c>
    </row>
    <row r="58" spans="2:91" x14ac:dyDescent="0.3">
      <c r="B58" s="15" t="s">
        <v>257</v>
      </c>
      <c r="C58" s="16" t="s">
        <v>44</v>
      </c>
      <c r="D58" s="17">
        <v>1</v>
      </c>
      <c r="E58" s="18">
        <v>0.1</v>
      </c>
      <c r="F58" s="11">
        <f t="shared" si="45"/>
        <v>0.1</v>
      </c>
      <c r="H58" s="15" t="s">
        <v>167</v>
      </c>
      <c r="I58" s="16"/>
      <c r="J58" s="17">
        <v>11</v>
      </c>
      <c r="K58" s="18">
        <v>2E-3</v>
      </c>
      <c r="L58" s="11">
        <f t="shared" si="33"/>
        <v>2.1999999999999999E-2</v>
      </c>
      <c r="N58" s="15" t="s">
        <v>257</v>
      </c>
      <c r="O58" s="16" t="s">
        <v>44</v>
      </c>
      <c r="P58" s="17">
        <v>1</v>
      </c>
      <c r="Q58" s="18">
        <v>0.1</v>
      </c>
      <c r="R58" s="11">
        <f t="shared" si="34"/>
        <v>0.1</v>
      </c>
      <c r="T58" s="15" t="s">
        <v>160</v>
      </c>
      <c r="U58" s="16" t="s">
        <v>11</v>
      </c>
      <c r="V58" s="17">
        <v>2.25</v>
      </c>
      <c r="W58" s="18">
        <v>0.01</v>
      </c>
      <c r="X58" s="11">
        <f t="shared" ref="X58" si="46">+W58*V58</f>
        <v>2.2499999999999999E-2</v>
      </c>
      <c r="Z58" s="15" t="s">
        <v>270</v>
      </c>
      <c r="AA58" s="16" t="s">
        <v>11</v>
      </c>
      <c r="AB58" s="39">
        <v>3</v>
      </c>
      <c r="AC58" s="18">
        <v>0.02</v>
      </c>
      <c r="AD58" s="11">
        <f>+AC58*AB59</f>
        <v>0</v>
      </c>
      <c r="AF58" s="15" t="s">
        <v>270</v>
      </c>
      <c r="AG58" s="16" t="s">
        <v>11</v>
      </c>
      <c r="AH58" s="39">
        <v>3</v>
      </c>
      <c r="AI58" s="18">
        <v>0.02</v>
      </c>
      <c r="AJ58" s="11">
        <f t="shared" si="37"/>
        <v>0.06</v>
      </c>
      <c r="AM58" s="15" t="s">
        <v>141</v>
      </c>
      <c r="AN58" s="16" t="s">
        <v>9</v>
      </c>
      <c r="AO58" s="17">
        <v>0.6</v>
      </c>
      <c r="AP58" s="18">
        <v>0.5</v>
      </c>
      <c r="AQ58" s="11">
        <f t="shared" si="38"/>
        <v>0.3</v>
      </c>
      <c r="AS58" s="15"/>
      <c r="AT58" s="16"/>
      <c r="AU58" s="17"/>
      <c r="AV58" s="18"/>
      <c r="AW58" s="11">
        <f t="shared" si="39"/>
        <v>0</v>
      </c>
      <c r="BD58" s="15" t="s">
        <v>246</v>
      </c>
      <c r="BE58" s="16"/>
      <c r="BF58" s="17">
        <v>3</v>
      </c>
      <c r="BG58" s="18">
        <v>0.1</v>
      </c>
      <c r="BH58" s="11">
        <f t="shared" si="40"/>
        <v>0.30000000000000004</v>
      </c>
      <c r="BK58" s="15" t="s">
        <v>246</v>
      </c>
      <c r="BL58" s="16"/>
      <c r="BM58" s="17">
        <v>3</v>
      </c>
      <c r="BN58" s="18">
        <v>0.1</v>
      </c>
      <c r="BO58" s="11">
        <f t="shared" si="41"/>
        <v>0.30000000000000004</v>
      </c>
      <c r="BQ58" s="15" t="s">
        <v>459</v>
      </c>
      <c r="BR58" s="16" t="s">
        <v>11</v>
      </c>
      <c r="BS58" s="17">
        <v>3.2</v>
      </c>
      <c r="BT58" s="18"/>
      <c r="BU58" s="11">
        <f t="shared" si="42"/>
        <v>0</v>
      </c>
      <c r="CC58" s="15" t="s">
        <v>140</v>
      </c>
      <c r="CD58" s="16" t="s">
        <v>11</v>
      </c>
      <c r="CE58" s="17">
        <v>6</v>
      </c>
      <c r="CF58" s="18">
        <v>0</v>
      </c>
      <c r="CG58" s="11">
        <f t="shared" si="43"/>
        <v>0</v>
      </c>
      <c r="CI58" s="15" t="s">
        <v>140</v>
      </c>
      <c r="CJ58" s="16" t="s">
        <v>11</v>
      </c>
      <c r="CK58" s="17">
        <v>6</v>
      </c>
      <c r="CL58" s="18">
        <v>5.0000000000000001E-3</v>
      </c>
      <c r="CM58" s="11">
        <f t="shared" si="44"/>
        <v>0.03</v>
      </c>
    </row>
    <row r="59" spans="2:91" x14ac:dyDescent="0.3">
      <c r="B59" s="15" t="s">
        <v>167</v>
      </c>
      <c r="C59" s="16"/>
      <c r="D59" s="17">
        <v>11</v>
      </c>
      <c r="E59" s="18">
        <v>2E-3</v>
      </c>
      <c r="F59" s="11">
        <f t="shared" si="45"/>
        <v>2.1999999999999999E-2</v>
      </c>
      <c r="H59" s="15" t="s">
        <v>366</v>
      </c>
      <c r="I59" s="16"/>
      <c r="J59" s="17">
        <v>40</v>
      </c>
      <c r="K59" s="18">
        <v>0.05</v>
      </c>
      <c r="L59" s="11">
        <f t="shared" si="33"/>
        <v>2</v>
      </c>
      <c r="N59" s="15" t="s">
        <v>167</v>
      </c>
      <c r="O59" s="16"/>
      <c r="P59" s="17">
        <v>11</v>
      </c>
      <c r="Q59" s="18">
        <v>2E-3</v>
      </c>
      <c r="R59" s="11">
        <f t="shared" si="34"/>
        <v>2.1999999999999999E-2</v>
      </c>
      <c r="T59" s="15"/>
      <c r="U59" s="16"/>
      <c r="V59" s="17"/>
      <c r="W59" s="18"/>
      <c r="X59" s="11"/>
      <c r="Z59" s="15"/>
      <c r="AA59" s="16"/>
      <c r="AB59" s="17"/>
      <c r="AC59" s="18"/>
      <c r="AD59" s="11"/>
      <c r="AF59" s="15" t="s">
        <v>179</v>
      </c>
      <c r="AG59" s="16"/>
      <c r="AH59" s="17">
        <v>2.1</v>
      </c>
      <c r="AI59" s="18">
        <v>0.05</v>
      </c>
      <c r="AJ59" s="11">
        <f t="shared" si="37"/>
        <v>0.10500000000000001</v>
      </c>
      <c r="AM59" s="15" t="s">
        <v>263</v>
      </c>
      <c r="AN59" s="16" t="s">
        <v>9</v>
      </c>
      <c r="AO59" s="17">
        <v>1</v>
      </c>
      <c r="AP59" s="18">
        <v>0.5</v>
      </c>
      <c r="AQ59" s="11">
        <f t="shared" si="38"/>
        <v>0.5</v>
      </c>
      <c r="AS59" s="15"/>
      <c r="AT59" s="16"/>
      <c r="AU59" s="17"/>
      <c r="AV59" s="18"/>
      <c r="AW59" s="11">
        <f t="shared" si="39"/>
        <v>0</v>
      </c>
      <c r="BD59" s="15" t="s">
        <v>272</v>
      </c>
      <c r="BE59" s="16"/>
      <c r="BF59" s="17">
        <v>1.8</v>
      </c>
      <c r="BG59" s="18">
        <v>0.25</v>
      </c>
      <c r="BH59" s="11">
        <f t="shared" si="40"/>
        <v>0.45</v>
      </c>
      <c r="BK59" s="15" t="s">
        <v>353</v>
      </c>
      <c r="BL59" s="16"/>
      <c r="BM59" s="17">
        <v>1.6</v>
      </c>
      <c r="BN59" s="18">
        <v>0.25</v>
      </c>
      <c r="BO59" s="11">
        <f t="shared" si="41"/>
        <v>0.4</v>
      </c>
      <c r="BQ59" s="15" t="s">
        <v>444</v>
      </c>
      <c r="BR59" s="16" t="s">
        <v>38</v>
      </c>
      <c r="BS59" s="17">
        <v>8</v>
      </c>
      <c r="BT59" s="18"/>
      <c r="BU59" s="11">
        <f t="shared" si="42"/>
        <v>0</v>
      </c>
      <c r="CC59" s="15" t="s">
        <v>220</v>
      </c>
      <c r="CD59" s="16" t="s">
        <v>11</v>
      </c>
      <c r="CE59" s="17">
        <v>9.1999999999999993</v>
      </c>
      <c r="CF59" s="18">
        <v>0</v>
      </c>
      <c r="CG59" s="11">
        <f t="shared" si="43"/>
        <v>0</v>
      </c>
      <c r="CI59" s="15" t="s">
        <v>181</v>
      </c>
      <c r="CJ59" s="16" t="s">
        <v>11</v>
      </c>
      <c r="CK59" s="17">
        <v>9.1999999999999993</v>
      </c>
      <c r="CL59" s="18"/>
      <c r="CM59" s="11">
        <f t="shared" si="44"/>
        <v>0</v>
      </c>
    </row>
    <row r="60" spans="2:91" x14ac:dyDescent="0.3">
      <c r="B60" s="19" t="s">
        <v>134</v>
      </c>
      <c r="C60" s="20"/>
      <c r="D60" s="20">
        <v>5.34</v>
      </c>
      <c r="E60" s="21">
        <v>0.15</v>
      </c>
      <c r="F60" s="11">
        <f t="shared" si="45"/>
        <v>0.80099999999999993</v>
      </c>
      <c r="H60" s="15"/>
      <c r="I60" s="16"/>
      <c r="J60" s="17"/>
      <c r="K60" s="18"/>
      <c r="L60" s="11">
        <f t="shared" si="33"/>
        <v>0</v>
      </c>
      <c r="N60" s="19"/>
      <c r="O60" s="20"/>
      <c r="P60" s="20"/>
      <c r="Q60" s="21"/>
      <c r="R60" s="11"/>
      <c r="T60" s="15"/>
      <c r="U60" s="16"/>
      <c r="V60" s="17"/>
      <c r="W60" s="18"/>
      <c r="X60" s="11"/>
      <c r="Z60" s="15"/>
      <c r="AA60" s="16"/>
      <c r="AB60" s="17"/>
      <c r="AC60" s="18"/>
      <c r="AD60" s="11"/>
      <c r="AF60" s="15" t="s">
        <v>141</v>
      </c>
      <c r="AG60" s="16"/>
      <c r="AH60" s="17">
        <v>0.6</v>
      </c>
      <c r="AI60" s="18">
        <v>0.5</v>
      </c>
      <c r="AJ60" s="11">
        <f t="shared" si="37"/>
        <v>0.3</v>
      </c>
      <c r="AM60" s="15" t="s">
        <v>154</v>
      </c>
      <c r="AN60" s="16" t="s">
        <v>38</v>
      </c>
      <c r="AO60" s="17">
        <v>1.5</v>
      </c>
      <c r="AP60" s="18">
        <v>5.0000000000000001E-3</v>
      </c>
      <c r="AQ60" s="11">
        <f t="shared" si="38"/>
        <v>7.4999999999999997E-3</v>
      </c>
      <c r="AS60" s="15"/>
      <c r="AT60" s="16"/>
      <c r="AU60" s="17"/>
      <c r="AV60" s="18"/>
      <c r="AW60" s="11">
        <f t="shared" si="39"/>
        <v>0</v>
      </c>
      <c r="BD60" s="15"/>
      <c r="BE60" s="16"/>
      <c r="BF60" s="17"/>
      <c r="BG60" s="18"/>
      <c r="BH60" s="11">
        <f t="shared" si="40"/>
        <v>0</v>
      </c>
      <c r="BK60" s="15"/>
      <c r="BL60" s="16"/>
      <c r="BM60" s="17"/>
      <c r="BN60" s="18"/>
      <c r="BO60" s="11">
        <f t="shared" si="41"/>
        <v>0</v>
      </c>
      <c r="BQ60" s="15" t="s">
        <v>460</v>
      </c>
      <c r="BR60" s="16" t="s">
        <v>11</v>
      </c>
      <c r="BS60" s="17">
        <v>3.2</v>
      </c>
      <c r="BT60" s="18"/>
      <c r="BU60" s="11">
        <f t="shared" si="42"/>
        <v>0</v>
      </c>
      <c r="CC60" s="15" t="s">
        <v>463</v>
      </c>
      <c r="CD60" s="16" t="s">
        <v>11</v>
      </c>
      <c r="CE60" s="17">
        <v>45</v>
      </c>
      <c r="CF60" s="18">
        <v>0</v>
      </c>
      <c r="CG60" s="11">
        <f t="shared" si="43"/>
        <v>0</v>
      </c>
      <c r="CI60" s="15" t="s">
        <v>466</v>
      </c>
      <c r="CJ60" s="16" t="s">
        <v>11</v>
      </c>
      <c r="CK60" s="17">
        <v>45</v>
      </c>
      <c r="CL60" s="18">
        <v>0.05</v>
      </c>
      <c r="CM60" s="11">
        <f t="shared" si="44"/>
        <v>2.25</v>
      </c>
    </row>
    <row r="61" spans="2:91" x14ac:dyDescent="0.3">
      <c r="B61" s="19" t="s">
        <v>358</v>
      </c>
      <c r="C61" s="20"/>
      <c r="D61" s="20">
        <v>1.8</v>
      </c>
      <c r="E61" s="21">
        <v>0.1</v>
      </c>
      <c r="F61" s="11">
        <f t="shared" si="45"/>
        <v>0.18000000000000002</v>
      </c>
      <c r="H61" s="19"/>
      <c r="I61" s="20"/>
      <c r="J61" s="20"/>
      <c r="K61" s="21"/>
      <c r="L61" s="11">
        <f t="shared" si="33"/>
        <v>0</v>
      </c>
      <c r="N61" s="19"/>
      <c r="O61" s="20"/>
      <c r="P61" s="20"/>
      <c r="Q61" s="21"/>
      <c r="R61" s="11"/>
      <c r="T61" s="19"/>
      <c r="U61" s="20"/>
      <c r="V61" s="20"/>
      <c r="W61" s="21"/>
      <c r="X61" s="11"/>
      <c r="Z61" s="19"/>
      <c r="AA61" s="20"/>
      <c r="AB61" s="20"/>
      <c r="AC61" s="21"/>
      <c r="AD61" s="11"/>
      <c r="AF61" s="19"/>
      <c r="AG61" s="20"/>
      <c r="AH61" s="20"/>
      <c r="AI61" s="21"/>
      <c r="AJ61" s="11"/>
      <c r="AM61" s="15" t="s">
        <v>167</v>
      </c>
      <c r="AN61" s="16" t="s">
        <v>9</v>
      </c>
      <c r="AO61" s="17">
        <v>11</v>
      </c>
      <c r="AP61" s="18">
        <v>2E-3</v>
      </c>
      <c r="AQ61" s="11">
        <f t="shared" si="38"/>
        <v>2.1999999999999999E-2</v>
      </c>
      <c r="AS61" s="15" t="s">
        <v>167</v>
      </c>
      <c r="AT61" s="16" t="s">
        <v>9</v>
      </c>
      <c r="AU61" s="17">
        <v>11</v>
      </c>
      <c r="AV61" s="18">
        <v>2E-3</v>
      </c>
      <c r="AW61" s="11">
        <f t="shared" si="39"/>
        <v>2.1999999999999999E-2</v>
      </c>
      <c r="BD61" s="15"/>
      <c r="BE61" s="16"/>
      <c r="BF61" s="17"/>
      <c r="BG61" s="18"/>
      <c r="BH61" s="11">
        <f t="shared" si="40"/>
        <v>0</v>
      </c>
      <c r="BK61" s="15"/>
      <c r="BL61" s="16"/>
      <c r="BM61" s="17"/>
      <c r="BN61" s="18"/>
      <c r="BO61" s="11">
        <f t="shared" si="41"/>
        <v>0</v>
      </c>
      <c r="BQ61" s="15"/>
      <c r="BR61" s="16"/>
      <c r="BS61" s="17"/>
      <c r="BT61" s="18"/>
      <c r="BU61" s="11">
        <f t="shared" si="42"/>
        <v>0</v>
      </c>
      <c r="BW61" s="15"/>
      <c r="BX61" s="16"/>
      <c r="BY61" s="17"/>
      <c r="BZ61" s="18"/>
      <c r="CA61" s="11">
        <f t="shared" ref="CA61:CA68" si="47">+BZ61*BY61</f>
        <v>0</v>
      </c>
      <c r="CC61" s="7" t="s">
        <v>126</v>
      </c>
      <c r="CD61" s="8" t="s">
        <v>11</v>
      </c>
      <c r="CE61" s="9">
        <v>7.6</v>
      </c>
      <c r="CF61" s="10">
        <v>0.1</v>
      </c>
      <c r="CG61" s="11">
        <f>+CF61*CE61</f>
        <v>0.76</v>
      </c>
      <c r="CI61" s="15" t="s">
        <v>261</v>
      </c>
      <c r="CJ61" s="16" t="s">
        <v>11</v>
      </c>
      <c r="CK61" s="17">
        <v>2.35</v>
      </c>
      <c r="CL61" s="18">
        <v>0.1</v>
      </c>
      <c r="CM61" s="11">
        <f t="shared" si="44"/>
        <v>0.23500000000000001</v>
      </c>
    </row>
    <row r="62" spans="2:91" x14ac:dyDescent="0.3">
      <c r="B62" s="19" t="s">
        <v>20</v>
      </c>
      <c r="C62" s="20"/>
      <c r="D62" s="20">
        <v>0.15</v>
      </c>
      <c r="E62" s="21">
        <v>1</v>
      </c>
      <c r="F62" s="11">
        <f t="shared" si="45"/>
        <v>0.15</v>
      </c>
      <c r="H62" s="19"/>
      <c r="I62" s="20"/>
      <c r="J62" s="20"/>
      <c r="K62" s="21"/>
      <c r="L62" s="11">
        <f t="shared" si="33"/>
        <v>0</v>
      </c>
      <c r="N62" s="19"/>
      <c r="O62" s="20"/>
      <c r="P62" s="20"/>
      <c r="Q62" s="21"/>
      <c r="R62" s="11"/>
      <c r="T62" s="19"/>
      <c r="U62" s="20"/>
      <c r="V62" s="20"/>
      <c r="W62" s="21"/>
      <c r="X62" s="11"/>
      <c r="Z62" s="19"/>
      <c r="AA62" s="20"/>
      <c r="AB62" s="20"/>
      <c r="AC62" s="21"/>
      <c r="AD62" s="11"/>
      <c r="AF62" s="19"/>
      <c r="AG62" s="20"/>
      <c r="AH62" s="20"/>
      <c r="AI62" s="21"/>
      <c r="AJ62" s="11"/>
      <c r="AM62" s="19" t="s">
        <v>166</v>
      </c>
      <c r="AN62" s="20" t="s">
        <v>9</v>
      </c>
      <c r="AO62" s="20">
        <v>0.02</v>
      </c>
      <c r="AP62" s="21">
        <v>2E-3</v>
      </c>
      <c r="AQ62" s="11">
        <f t="shared" si="38"/>
        <v>4.0000000000000003E-5</v>
      </c>
      <c r="AS62" s="19" t="s">
        <v>166</v>
      </c>
      <c r="AT62" s="20" t="s">
        <v>9</v>
      </c>
      <c r="AU62" s="20">
        <v>0.02</v>
      </c>
      <c r="AV62" s="21">
        <v>2E-3</v>
      </c>
      <c r="AW62" s="11">
        <f t="shared" si="39"/>
        <v>4.0000000000000003E-5</v>
      </c>
      <c r="BD62" s="19"/>
      <c r="BE62" s="20"/>
      <c r="BF62" s="20"/>
      <c r="BG62" s="21"/>
      <c r="BH62" s="11">
        <f t="shared" si="40"/>
        <v>0</v>
      </c>
      <c r="BK62" s="19"/>
      <c r="BL62" s="20"/>
      <c r="BM62" s="20"/>
      <c r="BN62" s="21"/>
      <c r="BO62" s="11">
        <f t="shared" si="41"/>
        <v>0</v>
      </c>
      <c r="BQ62" s="19"/>
      <c r="BR62" s="20"/>
      <c r="BS62" s="20"/>
      <c r="BT62" s="21"/>
      <c r="BU62" s="11">
        <f t="shared" si="42"/>
        <v>0</v>
      </c>
      <c r="BW62" s="19"/>
      <c r="BX62" s="20"/>
      <c r="BY62" s="20"/>
      <c r="BZ62" s="21"/>
      <c r="CA62" s="11">
        <f t="shared" si="47"/>
        <v>0</v>
      </c>
      <c r="CC62" s="15" t="s">
        <v>282</v>
      </c>
      <c r="CD62" s="16" t="s">
        <v>11</v>
      </c>
      <c r="CE62" s="17">
        <v>11</v>
      </c>
      <c r="CF62" s="18">
        <v>0.06</v>
      </c>
      <c r="CG62" s="11">
        <f>+CF62*CE62</f>
        <v>0.65999999999999992</v>
      </c>
      <c r="CI62" s="19" t="s">
        <v>10</v>
      </c>
      <c r="CJ62" s="16" t="s">
        <v>11</v>
      </c>
      <c r="CK62" s="20">
        <v>9.3800000000000008</v>
      </c>
      <c r="CL62" s="21">
        <v>8.9999999999999993E-3</v>
      </c>
      <c r="CM62" s="11">
        <f t="shared" si="44"/>
        <v>8.4419999999999995E-2</v>
      </c>
    </row>
    <row r="63" spans="2:91" x14ac:dyDescent="0.3">
      <c r="B63" s="19" t="s">
        <v>263</v>
      </c>
      <c r="C63" s="20"/>
      <c r="D63" s="20">
        <v>0.5</v>
      </c>
      <c r="E63" s="21">
        <v>1</v>
      </c>
      <c r="F63" s="11">
        <f t="shared" si="45"/>
        <v>0.5</v>
      </c>
      <c r="H63" s="19"/>
      <c r="I63" s="20"/>
      <c r="J63" s="20"/>
      <c r="K63" s="21"/>
      <c r="L63" s="11">
        <f t="shared" si="33"/>
        <v>0</v>
      </c>
      <c r="N63" s="19"/>
      <c r="O63" s="20"/>
      <c r="P63" s="20"/>
      <c r="Q63" s="21"/>
      <c r="R63" s="11"/>
      <c r="T63" s="19"/>
      <c r="U63" s="20"/>
      <c r="V63" s="20"/>
      <c r="W63" s="21"/>
      <c r="X63" s="11">
        <f t="shared" ref="X63:X67" si="48">+W63*V63</f>
        <v>0</v>
      </c>
      <c r="Z63" s="19"/>
      <c r="AA63" s="20"/>
      <c r="AB63" s="20"/>
      <c r="AC63" s="21"/>
      <c r="AD63" s="11"/>
      <c r="AF63" s="19"/>
      <c r="AG63" s="20"/>
      <c r="AH63" s="20" t="s">
        <v>277</v>
      </c>
      <c r="AI63" s="21"/>
      <c r="AJ63" s="11"/>
      <c r="AM63" s="19"/>
      <c r="AN63" s="20"/>
      <c r="AO63" s="20"/>
      <c r="AP63" s="21"/>
      <c r="AQ63" s="11">
        <f t="shared" si="38"/>
        <v>0</v>
      </c>
      <c r="AS63" s="19"/>
      <c r="AT63" s="20"/>
      <c r="AU63" s="20"/>
      <c r="AV63" s="21"/>
      <c r="AW63" s="11">
        <f t="shared" si="39"/>
        <v>0</v>
      </c>
      <c r="BD63" s="19"/>
      <c r="BE63" s="20"/>
      <c r="BF63" s="20"/>
      <c r="BG63" s="21"/>
      <c r="BH63" s="11">
        <f t="shared" si="40"/>
        <v>0</v>
      </c>
      <c r="BK63" s="19"/>
      <c r="BL63" s="20"/>
      <c r="BM63" s="20"/>
      <c r="BN63" s="21"/>
      <c r="BO63" s="11">
        <f t="shared" si="41"/>
        <v>0</v>
      </c>
      <c r="BQ63" s="19"/>
      <c r="BR63" s="20"/>
      <c r="BS63" s="20"/>
      <c r="BT63" s="21"/>
      <c r="BU63" s="11">
        <f t="shared" si="42"/>
        <v>0</v>
      </c>
      <c r="BW63" s="19"/>
      <c r="BX63" s="20"/>
      <c r="BY63" s="20"/>
      <c r="BZ63" s="21"/>
      <c r="CA63" s="11">
        <f t="shared" si="47"/>
        <v>0</v>
      </c>
      <c r="CC63" s="15" t="s">
        <v>458</v>
      </c>
      <c r="CD63" s="16" t="s">
        <v>11</v>
      </c>
      <c r="CE63" s="17">
        <v>3.83</v>
      </c>
      <c r="CF63" s="18">
        <v>3.5999999999999997E-2</v>
      </c>
      <c r="CG63" s="11">
        <f>+CF63*CE63</f>
        <v>0.13788</v>
      </c>
      <c r="CI63" s="19" t="s">
        <v>24</v>
      </c>
      <c r="CJ63" s="16" t="s">
        <v>11</v>
      </c>
      <c r="CK63" s="20">
        <v>1</v>
      </c>
      <c r="CL63" s="21"/>
      <c r="CM63" s="11">
        <f t="shared" si="44"/>
        <v>0</v>
      </c>
    </row>
    <row r="64" spans="2:91" ht="15" thickBot="1" x14ac:dyDescent="0.35">
      <c r="B64" s="22" t="s">
        <v>359</v>
      </c>
      <c r="C64" s="23"/>
      <c r="D64" s="23">
        <v>12.39</v>
      </c>
      <c r="E64" s="24">
        <v>5.0000000000000001E-3</v>
      </c>
      <c r="F64" s="25">
        <f t="shared" si="45"/>
        <v>6.1950000000000005E-2</v>
      </c>
      <c r="H64" s="19"/>
      <c r="I64" s="20"/>
      <c r="J64" s="20"/>
      <c r="K64" s="21"/>
      <c r="L64" s="11">
        <f t="shared" si="33"/>
        <v>0</v>
      </c>
      <c r="N64" s="22"/>
      <c r="O64" s="23"/>
      <c r="P64" s="23"/>
      <c r="Q64" s="24"/>
      <c r="R64" s="25"/>
      <c r="T64" s="19"/>
      <c r="U64" s="20"/>
      <c r="V64" s="20"/>
      <c r="W64" s="21"/>
      <c r="X64" s="11">
        <f t="shared" si="48"/>
        <v>0</v>
      </c>
      <c r="Z64" s="19"/>
      <c r="AA64" s="20"/>
      <c r="AB64" s="20"/>
      <c r="AC64" s="21"/>
      <c r="AD64" s="11"/>
      <c r="AF64" s="19"/>
      <c r="AG64" s="20"/>
      <c r="AH64" s="20"/>
      <c r="AI64" s="21"/>
      <c r="AJ64" s="11"/>
      <c r="AM64" s="19"/>
      <c r="AN64" s="20"/>
      <c r="AO64" s="20"/>
      <c r="AP64" s="21"/>
      <c r="AQ64" s="11">
        <f t="shared" si="38"/>
        <v>0</v>
      </c>
      <c r="AS64" s="19"/>
      <c r="AT64" s="20"/>
      <c r="AU64" s="20"/>
      <c r="AV64" s="21"/>
      <c r="AW64" s="11">
        <f t="shared" si="39"/>
        <v>0</v>
      </c>
      <c r="BD64" s="19"/>
      <c r="BE64" s="20"/>
      <c r="BF64" s="20"/>
      <c r="BG64" s="21"/>
      <c r="BH64" s="11">
        <f t="shared" si="40"/>
        <v>0</v>
      </c>
      <c r="BK64" s="19"/>
      <c r="BL64" s="20"/>
      <c r="BM64" s="20"/>
      <c r="BN64" s="21"/>
      <c r="BO64" s="11">
        <f t="shared" si="41"/>
        <v>0</v>
      </c>
      <c r="BQ64" s="19"/>
      <c r="BR64" s="20"/>
      <c r="BS64" s="20"/>
      <c r="BT64" s="21"/>
      <c r="BU64" s="11">
        <f t="shared" si="42"/>
        <v>0</v>
      </c>
      <c r="BW64" s="19"/>
      <c r="BX64" s="20"/>
      <c r="BY64" s="20"/>
      <c r="BZ64" s="21"/>
      <c r="CA64" s="11">
        <f t="shared" si="47"/>
        <v>0</v>
      </c>
      <c r="CC64" s="7" t="s">
        <v>134</v>
      </c>
      <c r="CD64" s="8" t="s">
        <v>11</v>
      </c>
      <c r="CE64" s="9">
        <v>5.34</v>
      </c>
      <c r="CF64" s="10">
        <v>0.1</v>
      </c>
      <c r="CG64" s="11">
        <f t="shared" ref="CG64:CG70" si="49">+CF64*CE64</f>
        <v>0.53400000000000003</v>
      </c>
      <c r="CI64" s="19" t="s">
        <v>467</v>
      </c>
      <c r="CJ64" s="20" t="s">
        <v>38</v>
      </c>
      <c r="CK64" s="20">
        <v>1.8</v>
      </c>
      <c r="CL64" s="21"/>
      <c r="CM64" s="11">
        <f t="shared" si="44"/>
        <v>0</v>
      </c>
    </row>
    <row r="65" spans="2:91" ht="15" thickBot="1" x14ac:dyDescent="0.35">
      <c r="B65" s="1"/>
      <c r="C65" s="1"/>
      <c r="D65" s="72" t="s">
        <v>26</v>
      </c>
      <c r="E65" s="73"/>
      <c r="F65" s="26">
        <f>SUM(F53:F64)</f>
        <v>3.5734000000000004</v>
      </c>
      <c r="H65" s="19"/>
      <c r="I65" s="20"/>
      <c r="J65" s="20"/>
      <c r="K65" s="21"/>
      <c r="L65" s="11">
        <f t="shared" si="33"/>
        <v>0</v>
      </c>
      <c r="N65" s="1"/>
      <c r="O65" s="1"/>
      <c r="P65" s="72" t="s">
        <v>26</v>
      </c>
      <c r="Q65" s="73"/>
      <c r="R65" s="26">
        <f>SUM(R53:R64)</f>
        <v>0.70145000000000002</v>
      </c>
      <c r="T65" s="19"/>
      <c r="U65" s="20"/>
      <c r="V65" s="20"/>
      <c r="W65" s="21"/>
      <c r="X65" s="11">
        <f t="shared" si="48"/>
        <v>0</v>
      </c>
      <c r="Z65" s="19"/>
      <c r="AA65" s="20"/>
      <c r="AB65" s="20"/>
      <c r="AC65" s="21"/>
      <c r="AD65" s="11"/>
      <c r="AF65" s="19"/>
      <c r="AG65" s="20"/>
      <c r="AH65" s="20"/>
      <c r="AI65" s="21"/>
      <c r="AJ65" s="11"/>
      <c r="AM65" s="19"/>
      <c r="AN65" s="20"/>
      <c r="AO65" s="20"/>
      <c r="AP65" s="21"/>
      <c r="AQ65" s="11">
        <f t="shared" si="38"/>
        <v>0</v>
      </c>
      <c r="AS65" s="19"/>
      <c r="AT65" s="20"/>
      <c r="AU65" s="20"/>
      <c r="AV65" s="21"/>
      <c r="AW65" s="11">
        <f t="shared" si="39"/>
        <v>0</v>
      </c>
      <c r="BD65" s="19"/>
      <c r="BE65" s="20"/>
      <c r="BF65" s="20"/>
      <c r="BG65" s="21"/>
      <c r="BH65" s="11">
        <f t="shared" si="40"/>
        <v>0</v>
      </c>
      <c r="BK65" s="19"/>
      <c r="BL65" s="20"/>
      <c r="BM65" s="20"/>
      <c r="BN65" s="21"/>
      <c r="BO65" s="11">
        <f t="shared" si="41"/>
        <v>0</v>
      </c>
      <c r="BQ65" s="19"/>
      <c r="BR65" s="20"/>
      <c r="BS65" s="20"/>
      <c r="BT65" s="21"/>
      <c r="BU65" s="11">
        <f t="shared" si="42"/>
        <v>0</v>
      </c>
      <c r="BW65" s="19"/>
      <c r="BX65" s="20"/>
      <c r="BY65" s="20"/>
      <c r="BZ65" s="21"/>
      <c r="CA65" s="11">
        <f t="shared" si="47"/>
        <v>0</v>
      </c>
      <c r="CC65" s="15" t="s">
        <v>456</v>
      </c>
      <c r="CD65" s="16" t="s">
        <v>11</v>
      </c>
      <c r="CE65" s="17">
        <v>2.35</v>
      </c>
      <c r="CF65" s="18"/>
      <c r="CG65" s="11">
        <f t="shared" si="49"/>
        <v>0</v>
      </c>
      <c r="CI65" s="19" t="s">
        <v>70</v>
      </c>
      <c r="CJ65" s="20" t="s">
        <v>11</v>
      </c>
      <c r="CK65" s="20">
        <v>0.01</v>
      </c>
      <c r="CL65" s="21">
        <v>1</v>
      </c>
      <c r="CM65" s="11">
        <f t="shared" si="44"/>
        <v>0.01</v>
      </c>
    </row>
    <row r="66" spans="2:91" ht="15" thickBot="1" x14ac:dyDescent="0.35">
      <c r="B66" s="1"/>
      <c r="C66" s="1"/>
      <c r="D66" s="72" t="s">
        <v>27</v>
      </c>
      <c r="E66" s="73"/>
      <c r="F66" s="26">
        <f>+F65*1.145</f>
        <v>4.0915430000000006</v>
      </c>
      <c r="H66" s="19"/>
      <c r="I66" s="20"/>
      <c r="J66" s="20"/>
      <c r="K66" s="21"/>
      <c r="L66" s="11">
        <f t="shared" si="33"/>
        <v>0</v>
      </c>
      <c r="N66" s="1"/>
      <c r="O66" s="1"/>
      <c r="P66" s="72" t="s">
        <v>27</v>
      </c>
      <c r="Q66" s="73"/>
      <c r="R66" s="26">
        <f>+R65*1.145</f>
        <v>0.80316025000000002</v>
      </c>
      <c r="T66" s="19"/>
      <c r="U66" s="20"/>
      <c r="V66" s="20"/>
      <c r="W66" s="21"/>
      <c r="X66" s="11">
        <f t="shared" si="48"/>
        <v>0</v>
      </c>
      <c r="Z66" s="19"/>
      <c r="AA66" s="20"/>
      <c r="AB66" s="20"/>
      <c r="AC66" s="21"/>
      <c r="AD66" s="11"/>
      <c r="AF66" s="19"/>
      <c r="AG66" s="20"/>
      <c r="AH66" s="20"/>
      <c r="AI66" s="21"/>
      <c r="AJ66" s="11"/>
      <c r="AM66" s="19"/>
      <c r="AN66" s="20"/>
      <c r="AO66" s="20"/>
      <c r="AP66" s="21"/>
      <c r="AQ66" s="11">
        <f t="shared" si="38"/>
        <v>0</v>
      </c>
      <c r="AS66" s="19"/>
      <c r="AT66" s="20"/>
      <c r="AU66" s="20"/>
      <c r="AV66" s="21"/>
      <c r="AW66" s="11">
        <f t="shared" si="39"/>
        <v>0</v>
      </c>
      <c r="BD66" s="19"/>
      <c r="BE66" s="20"/>
      <c r="BF66" s="20"/>
      <c r="BG66" s="21"/>
      <c r="BH66" s="11">
        <f t="shared" si="40"/>
        <v>0</v>
      </c>
      <c r="BK66" s="19"/>
      <c r="BL66" s="20"/>
      <c r="BM66" s="20"/>
      <c r="BN66" s="21"/>
      <c r="BO66" s="11">
        <f t="shared" si="41"/>
        <v>0</v>
      </c>
      <c r="BQ66" s="19"/>
      <c r="BR66" s="20"/>
      <c r="BS66" s="20"/>
      <c r="BT66" s="21"/>
      <c r="BU66" s="11">
        <f t="shared" si="42"/>
        <v>0</v>
      </c>
      <c r="BW66" s="19"/>
      <c r="BX66" s="20"/>
      <c r="BY66" s="20"/>
      <c r="BZ66" s="21"/>
      <c r="CA66" s="11">
        <f t="shared" si="47"/>
        <v>0</v>
      </c>
      <c r="CC66" s="15" t="s">
        <v>457</v>
      </c>
      <c r="CD66" s="16" t="s">
        <v>128</v>
      </c>
      <c r="CE66" s="17">
        <v>1.1000000000000001</v>
      </c>
      <c r="CF66" s="18">
        <v>5.0000000000000001E-3</v>
      </c>
      <c r="CG66" s="11">
        <f t="shared" si="49"/>
        <v>5.5000000000000005E-3</v>
      </c>
      <c r="CI66" s="19"/>
      <c r="CJ66" s="20"/>
      <c r="CK66" s="20"/>
      <c r="CL66" s="21"/>
      <c r="CM66" s="11">
        <f t="shared" si="44"/>
        <v>0</v>
      </c>
    </row>
    <row r="67" spans="2:91" ht="15" thickBot="1" x14ac:dyDescent="0.35">
      <c r="B67" s="1"/>
      <c r="C67" s="1"/>
      <c r="D67" s="72" t="s">
        <v>28</v>
      </c>
      <c r="E67" s="73"/>
      <c r="F67" s="26">
        <v>16</v>
      </c>
      <c r="H67" s="19"/>
      <c r="I67" s="20"/>
      <c r="J67" s="20"/>
      <c r="K67" s="21"/>
      <c r="L67" s="11">
        <f t="shared" si="33"/>
        <v>0</v>
      </c>
      <c r="N67" s="1"/>
      <c r="O67" s="1"/>
      <c r="P67" s="72" t="s">
        <v>28</v>
      </c>
      <c r="Q67" s="73"/>
      <c r="R67" s="26">
        <v>5</v>
      </c>
      <c r="T67" s="19"/>
      <c r="U67" s="20"/>
      <c r="V67" s="20"/>
      <c r="W67" s="21"/>
      <c r="X67" s="11">
        <f t="shared" si="48"/>
        <v>0</v>
      </c>
      <c r="Z67" s="19"/>
      <c r="AA67" s="20"/>
      <c r="AB67" s="20"/>
      <c r="AC67" s="21"/>
      <c r="AD67" s="11"/>
      <c r="AF67" s="19"/>
      <c r="AG67" s="20"/>
      <c r="AH67" s="20"/>
      <c r="AI67" s="21"/>
      <c r="AJ67" s="11"/>
      <c r="AM67" s="19"/>
      <c r="AN67" s="20"/>
      <c r="AO67" s="20"/>
      <c r="AP67" s="21"/>
      <c r="AQ67" s="11">
        <f t="shared" si="38"/>
        <v>0</v>
      </c>
      <c r="AS67" s="19"/>
      <c r="AT67" s="20"/>
      <c r="AU67" s="20"/>
      <c r="AV67" s="21"/>
      <c r="AW67" s="11">
        <f t="shared" si="39"/>
        <v>0</v>
      </c>
      <c r="BD67" s="19"/>
      <c r="BE67" s="20"/>
      <c r="BF67" s="20"/>
      <c r="BG67" s="21"/>
      <c r="BH67" s="11">
        <f t="shared" si="40"/>
        <v>0</v>
      </c>
      <c r="BK67" s="19"/>
      <c r="BL67" s="20"/>
      <c r="BM67" s="20"/>
      <c r="BN67" s="21"/>
      <c r="BO67" s="11">
        <f t="shared" si="41"/>
        <v>0</v>
      </c>
      <c r="BQ67" s="19"/>
      <c r="BR67" s="20"/>
      <c r="BS67" s="20"/>
      <c r="BT67" s="21"/>
      <c r="BU67" s="11">
        <f t="shared" si="42"/>
        <v>0</v>
      </c>
      <c r="BW67" s="19"/>
      <c r="BX67" s="20"/>
      <c r="BY67" s="20"/>
      <c r="BZ67" s="21"/>
      <c r="CA67" s="11">
        <f t="shared" si="47"/>
        <v>0</v>
      </c>
      <c r="CC67" s="15" t="s">
        <v>458</v>
      </c>
      <c r="CD67" s="16" t="s">
        <v>11</v>
      </c>
      <c r="CE67" s="17">
        <v>3.8319999999999999</v>
      </c>
      <c r="CF67" s="18"/>
      <c r="CG67" s="11">
        <f t="shared" si="49"/>
        <v>0</v>
      </c>
      <c r="CI67" s="19"/>
      <c r="CJ67" s="20"/>
      <c r="CK67" s="20"/>
      <c r="CL67" s="21"/>
      <c r="CM67" s="11">
        <f t="shared" si="44"/>
        <v>0</v>
      </c>
    </row>
    <row r="68" spans="2:91" ht="15" thickBot="1" x14ac:dyDescent="0.35">
      <c r="B68" s="1"/>
      <c r="C68" s="1"/>
      <c r="D68" s="72" t="s">
        <v>29</v>
      </c>
      <c r="E68" s="74"/>
      <c r="F68" s="27">
        <f>F66/F67*100</f>
        <v>25.572143750000002</v>
      </c>
      <c r="H68" s="22"/>
      <c r="I68" s="23"/>
      <c r="J68" s="23"/>
      <c r="K68" s="24"/>
      <c r="L68" s="25"/>
      <c r="N68" s="1"/>
      <c r="O68" s="1"/>
      <c r="P68" s="72" t="s">
        <v>29</v>
      </c>
      <c r="Q68" s="74"/>
      <c r="R68" s="27">
        <f>R66/R67*100</f>
        <v>16.063205</v>
      </c>
      <c r="T68" s="22"/>
      <c r="U68" s="23"/>
      <c r="V68" s="23"/>
      <c r="W68" s="24"/>
      <c r="X68" s="25"/>
      <c r="Z68" s="22"/>
      <c r="AA68" s="23"/>
      <c r="AB68" s="23"/>
      <c r="AC68" s="24"/>
      <c r="AD68" s="25"/>
      <c r="AF68" s="22"/>
      <c r="AG68" s="23"/>
      <c r="AH68" s="23"/>
      <c r="AI68" s="24"/>
      <c r="AJ68" s="25"/>
      <c r="AM68" s="19"/>
      <c r="AN68" s="20"/>
      <c r="AO68" s="20"/>
      <c r="AP68" s="21"/>
      <c r="AQ68" s="11">
        <f t="shared" si="38"/>
        <v>0</v>
      </c>
      <c r="AS68" s="19"/>
      <c r="AT68" s="20"/>
      <c r="AU68" s="20"/>
      <c r="AV68" s="21"/>
      <c r="AW68" s="11">
        <f t="shared" si="39"/>
        <v>0</v>
      </c>
      <c r="BD68" s="19"/>
      <c r="BE68" s="20"/>
      <c r="BF68" s="20"/>
      <c r="BG68" s="21"/>
      <c r="BH68" s="11">
        <f t="shared" si="40"/>
        <v>0</v>
      </c>
      <c r="BK68" s="19"/>
      <c r="BL68" s="20"/>
      <c r="BM68" s="20"/>
      <c r="BN68" s="21"/>
      <c r="BO68" s="11">
        <f t="shared" si="41"/>
        <v>0</v>
      </c>
      <c r="BQ68" s="19"/>
      <c r="BR68" s="20"/>
      <c r="BS68" s="20"/>
      <c r="BT68" s="21"/>
      <c r="BU68" s="11">
        <f t="shared" si="42"/>
        <v>0</v>
      </c>
      <c r="BW68" s="19"/>
      <c r="BX68" s="20"/>
      <c r="BY68" s="20"/>
      <c r="BZ68" s="21"/>
      <c r="CA68" s="11">
        <f t="shared" si="47"/>
        <v>0</v>
      </c>
      <c r="CC68" s="15" t="s">
        <v>459</v>
      </c>
      <c r="CD68" s="16" t="s">
        <v>11</v>
      </c>
      <c r="CE68" s="17">
        <v>3.2</v>
      </c>
      <c r="CF68" s="18">
        <v>3.0000000000000001E-3</v>
      </c>
      <c r="CG68" s="11">
        <f t="shared" si="49"/>
        <v>9.6000000000000009E-3</v>
      </c>
      <c r="CI68" s="19"/>
      <c r="CJ68" s="20"/>
      <c r="CK68" s="20"/>
      <c r="CL68" s="21"/>
      <c r="CM68" s="11">
        <f t="shared" si="44"/>
        <v>0</v>
      </c>
    </row>
    <row r="69" spans="2:91" ht="15" thickBot="1" x14ac:dyDescent="0.35">
      <c r="B69" s="1"/>
      <c r="C69" s="1"/>
      <c r="D69" s="1"/>
      <c r="E69" s="28" t="s">
        <v>30</v>
      </c>
      <c r="F69" s="16">
        <f>100-F68</f>
        <v>74.427856249999991</v>
      </c>
      <c r="H69" s="1"/>
      <c r="I69" s="1"/>
      <c r="J69" s="72" t="s">
        <v>26</v>
      </c>
      <c r="K69" s="73"/>
      <c r="L69" s="26">
        <f>SUM(L53:L68)</f>
        <v>3.9594499999999999</v>
      </c>
      <c r="N69" s="1"/>
      <c r="O69" s="1"/>
      <c r="P69" s="1"/>
      <c r="Q69" s="28" t="s">
        <v>30</v>
      </c>
      <c r="R69" s="16">
        <f>100-R68</f>
        <v>83.936795000000004</v>
      </c>
      <c r="T69" s="1"/>
      <c r="U69" s="1"/>
      <c r="V69" s="72" t="s">
        <v>26</v>
      </c>
      <c r="W69" s="73"/>
      <c r="X69" s="26">
        <f>SUM(X53:X68)</f>
        <v>7.7</v>
      </c>
      <c r="Z69" s="1"/>
      <c r="AA69" s="1"/>
      <c r="AB69" s="72" t="s">
        <v>26</v>
      </c>
      <c r="AC69" s="73"/>
      <c r="AD69" s="26">
        <f>SUM(AD53:AD68)</f>
        <v>6.0430000000000001</v>
      </c>
      <c r="AF69" s="1"/>
      <c r="AG69" s="1"/>
      <c r="AH69" s="72" t="s">
        <v>26</v>
      </c>
      <c r="AI69" s="73"/>
      <c r="AJ69" s="26">
        <f>SUM(AJ53:AJ68)</f>
        <v>1.5536000000000001</v>
      </c>
      <c r="AM69" s="22"/>
      <c r="AN69" s="23"/>
      <c r="AO69" s="23"/>
      <c r="AP69" s="24"/>
      <c r="AQ69" s="25"/>
      <c r="AS69" s="22"/>
      <c r="AT69" s="23"/>
      <c r="AU69" s="23"/>
      <c r="AV69" s="24"/>
      <c r="AW69" s="25"/>
      <c r="BD69" s="22"/>
      <c r="BE69" s="23"/>
      <c r="BF69" s="23"/>
      <c r="BG69" s="24"/>
      <c r="BH69" s="25"/>
      <c r="BK69" s="22"/>
      <c r="BL69" s="23"/>
      <c r="BM69" s="23"/>
      <c r="BN69" s="24"/>
      <c r="BO69" s="25"/>
      <c r="BQ69" s="22"/>
      <c r="BR69" s="23"/>
      <c r="BS69" s="23"/>
      <c r="BT69" s="24"/>
      <c r="BU69" s="25"/>
      <c r="BW69" s="22"/>
      <c r="BX69" s="23"/>
      <c r="BY69" s="23"/>
      <c r="BZ69" s="24"/>
      <c r="CA69" s="25"/>
      <c r="CC69" s="15" t="s">
        <v>444</v>
      </c>
      <c r="CD69" s="16" t="s">
        <v>38</v>
      </c>
      <c r="CE69" s="17">
        <v>8</v>
      </c>
      <c r="CF69" s="18">
        <v>3.0000000000000001E-3</v>
      </c>
      <c r="CG69" s="11">
        <f t="shared" si="49"/>
        <v>2.4E-2</v>
      </c>
      <c r="CI69" s="22"/>
      <c r="CJ69" s="23"/>
      <c r="CK69" s="23"/>
      <c r="CL69" s="24"/>
      <c r="CM69" s="25"/>
    </row>
    <row r="70" spans="2:91" ht="15" thickBot="1" x14ac:dyDescent="0.35">
      <c r="H70" s="1"/>
      <c r="I70" s="1"/>
      <c r="J70" s="72" t="s">
        <v>27</v>
      </c>
      <c r="K70" s="73"/>
      <c r="L70" s="26">
        <f>+L69*1.145</f>
        <v>4.5335702500000004</v>
      </c>
      <c r="T70" s="1"/>
      <c r="U70" s="1"/>
      <c r="V70" s="72" t="s">
        <v>27</v>
      </c>
      <c r="W70" s="73"/>
      <c r="X70" s="26">
        <f>+X69*1.145</f>
        <v>8.8164999999999996</v>
      </c>
      <c r="Z70" s="1"/>
      <c r="AA70" s="1"/>
      <c r="AB70" s="72" t="s">
        <v>27</v>
      </c>
      <c r="AC70" s="73"/>
      <c r="AD70" s="26">
        <f>+AD69*1.145</f>
        <v>6.9192350000000005</v>
      </c>
      <c r="AF70" s="1"/>
      <c r="AG70" s="1"/>
      <c r="AH70" s="72" t="s">
        <v>27</v>
      </c>
      <c r="AI70" s="73"/>
      <c r="AJ70" s="26">
        <f>+AJ69*1.145</f>
        <v>1.7788720000000002</v>
      </c>
      <c r="AM70" s="1"/>
      <c r="AN70" s="1"/>
      <c r="AO70" s="72" t="s">
        <v>26</v>
      </c>
      <c r="AP70" s="73"/>
      <c r="AQ70" s="26">
        <f>SUM(AQ54:AQ69)</f>
        <v>2.7795399999999995</v>
      </c>
      <c r="AS70" s="1"/>
      <c r="AT70" s="1"/>
      <c r="AU70" s="72" t="s">
        <v>26</v>
      </c>
      <c r="AV70" s="73"/>
      <c r="AW70" s="26">
        <f>SUM(AW54:AW69)</f>
        <v>3.1620399999999997</v>
      </c>
      <c r="BD70" s="1"/>
      <c r="BE70" s="1"/>
      <c r="BF70" s="72" t="s">
        <v>26</v>
      </c>
      <c r="BG70" s="73"/>
      <c r="BH70" s="26">
        <f>SUM(BH54:BH69)</f>
        <v>5.3150000000000004</v>
      </c>
      <c r="BK70" s="1"/>
      <c r="BL70" s="1"/>
      <c r="BM70" s="72" t="s">
        <v>26</v>
      </c>
      <c r="BN70" s="73"/>
      <c r="BO70" s="26">
        <f>SUM(BO54:BO69)</f>
        <v>2.5024999999999999</v>
      </c>
      <c r="BQ70" s="1"/>
      <c r="BR70" s="1"/>
      <c r="BS70" s="72" t="s">
        <v>26</v>
      </c>
      <c r="BT70" s="73"/>
      <c r="BU70" s="26">
        <f>SUM(BU54:BU69)</f>
        <v>0</v>
      </c>
      <c r="BW70" s="1"/>
      <c r="BX70" s="1"/>
      <c r="BY70" s="72" t="s">
        <v>26</v>
      </c>
      <c r="BZ70" s="73"/>
      <c r="CA70" s="26">
        <f>SUM(CA54:CA69)</f>
        <v>0</v>
      </c>
      <c r="CC70" s="15" t="s">
        <v>460</v>
      </c>
      <c r="CD70" s="16" t="s">
        <v>11</v>
      </c>
      <c r="CE70" s="17">
        <v>3.2</v>
      </c>
      <c r="CF70" s="18">
        <v>0.02</v>
      </c>
      <c r="CG70" s="11">
        <f t="shared" si="49"/>
        <v>6.4000000000000001E-2</v>
      </c>
      <c r="CI70" s="1"/>
      <c r="CJ70" s="1"/>
      <c r="CK70" s="72" t="s">
        <v>26</v>
      </c>
      <c r="CL70" s="73"/>
      <c r="CM70" s="26">
        <f>SUM(CM54:CM69)</f>
        <v>7.1832200000000004</v>
      </c>
    </row>
    <row r="71" spans="2:91" ht="15" thickBot="1" x14ac:dyDescent="0.35">
      <c r="H71" s="1"/>
      <c r="I71" s="1"/>
      <c r="J71" s="72" t="s">
        <v>28</v>
      </c>
      <c r="K71" s="73"/>
      <c r="L71" s="26">
        <v>16</v>
      </c>
      <c r="T71" s="1"/>
      <c r="U71" s="1"/>
      <c r="V71" s="72" t="s">
        <v>28</v>
      </c>
      <c r="W71" s="73"/>
      <c r="X71" s="26">
        <v>30</v>
      </c>
      <c r="Z71" s="1"/>
      <c r="AA71" s="1"/>
      <c r="AB71" s="72" t="s">
        <v>28</v>
      </c>
      <c r="AC71" s="73"/>
      <c r="AD71" s="26">
        <v>22</v>
      </c>
      <c r="AF71" s="1"/>
      <c r="AG71" s="1"/>
      <c r="AH71" s="72" t="s">
        <v>28</v>
      </c>
      <c r="AI71" s="73"/>
      <c r="AJ71" s="26">
        <v>10</v>
      </c>
      <c r="AM71" s="1"/>
      <c r="AN71" s="1"/>
      <c r="AO71" s="72" t="s">
        <v>27</v>
      </c>
      <c r="AP71" s="73"/>
      <c r="AQ71" s="26">
        <f>+AQ70*1.145</f>
        <v>3.1825732999999996</v>
      </c>
      <c r="AS71" s="1"/>
      <c r="AT71" s="1"/>
      <c r="AU71" s="72" t="s">
        <v>27</v>
      </c>
      <c r="AV71" s="73"/>
      <c r="AW71" s="26">
        <f>+AW70*1.145</f>
        <v>3.6205357999999999</v>
      </c>
      <c r="BD71" s="1"/>
      <c r="BE71" s="1"/>
      <c r="BF71" s="72" t="s">
        <v>27</v>
      </c>
      <c r="BG71" s="73"/>
      <c r="BH71" s="26">
        <f>+BH70*1.145</f>
        <v>6.0856750000000002</v>
      </c>
      <c r="BK71" s="1"/>
      <c r="BL71" s="1"/>
      <c r="BM71" s="72" t="s">
        <v>27</v>
      </c>
      <c r="BN71" s="73"/>
      <c r="BO71" s="26">
        <f>+BO70*1.145</f>
        <v>2.8653624999999998</v>
      </c>
      <c r="BQ71" s="1"/>
      <c r="BR71" s="1"/>
      <c r="BS71" s="72" t="s">
        <v>27</v>
      </c>
      <c r="BT71" s="73"/>
      <c r="BU71" s="26">
        <f>+BU70*1.145</f>
        <v>0</v>
      </c>
      <c r="BW71" s="1"/>
      <c r="BX71" s="1"/>
      <c r="BY71" s="72" t="s">
        <v>27</v>
      </c>
      <c r="BZ71" s="73"/>
      <c r="CA71" s="26">
        <f>+CA70*1.145</f>
        <v>0</v>
      </c>
      <c r="CC71" s="15"/>
      <c r="CD71" s="16"/>
      <c r="CE71" s="17"/>
      <c r="CF71" s="18"/>
      <c r="CG71" s="11"/>
      <c r="CI71" s="1"/>
      <c r="CJ71" s="1"/>
      <c r="CK71" s="72" t="s">
        <v>27</v>
      </c>
      <c r="CL71" s="73"/>
      <c r="CM71" s="26">
        <f>+CM70*1.145</f>
        <v>8.2247868999999998</v>
      </c>
    </row>
    <row r="72" spans="2:91" ht="15" thickBot="1" x14ac:dyDescent="0.35">
      <c r="H72" s="1"/>
      <c r="I72" s="1"/>
      <c r="J72" s="72" t="s">
        <v>29</v>
      </c>
      <c r="K72" s="74"/>
      <c r="L72" s="27">
        <f>L70/L71*100</f>
        <v>28.334814062500001</v>
      </c>
      <c r="T72" s="1"/>
      <c r="U72" s="1"/>
      <c r="V72" s="72" t="s">
        <v>29</v>
      </c>
      <c r="W72" s="74"/>
      <c r="X72" s="27">
        <f>X70/X71*100</f>
        <v>29.388333333333332</v>
      </c>
      <c r="Z72" s="1"/>
      <c r="AA72" s="1"/>
      <c r="AB72" s="72" t="s">
        <v>29</v>
      </c>
      <c r="AC72" s="74"/>
      <c r="AD72" s="27">
        <f>AD70/AD71*100</f>
        <v>31.451068181818183</v>
      </c>
      <c r="AF72" s="1"/>
      <c r="AG72" s="1"/>
      <c r="AH72" s="72" t="s">
        <v>29</v>
      </c>
      <c r="AI72" s="74"/>
      <c r="AJ72" s="27">
        <f>AJ70/AJ71*100</f>
        <v>17.788720000000001</v>
      </c>
      <c r="AM72" s="1"/>
      <c r="AN72" s="1"/>
      <c r="AO72" s="72" t="s">
        <v>28</v>
      </c>
      <c r="AP72" s="73"/>
      <c r="AQ72" s="26">
        <v>14</v>
      </c>
      <c r="AS72" s="1"/>
      <c r="AT72" s="1"/>
      <c r="AU72" s="72" t="s">
        <v>28</v>
      </c>
      <c r="AV72" s="73"/>
      <c r="AW72" s="26">
        <v>16</v>
      </c>
      <c r="BD72" s="1"/>
      <c r="BE72" s="1"/>
      <c r="BF72" s="72" t="s">
        <v>28</v>
      </c>
      <c r="BG72" s="73"/>
      <c r="BH72" s="26">
        <v>22</v>
      </c>
      <c r="BK72" s="1"/>
      <c r="BL72" s="1"/>
      <c r="BM72" s="72" t="s">
        <v>28</v>
      </c>
      <c r="BN72" s="73"/>
      <c r="BO72" s="26">
        <v>13</v>
      </c>
      <c r="BQ72" s="1"/>
      <c r="BR72" s="1"/>
      <c r="BS72" s="72" t="s">
        <v>28</v>
      </c>
      <c r="BT72" s="73"/>
      <c r="BU72" s="26">
        <v>12</v>
      </c>
      <c r="BW72" s="1"/>
      <c r="BX72" s="1"/>
      <c r="BY72" s="72" t="s">
        <v>28</v>
      </c>
      <c r="BZ72" s="73"/>
      <c r="CA72" s="26">
        <v>12</v>
      </c>
      <c r="CC72" s="19"/>
      <c r="CD72" s="16"/>
      <c r="CE72" s="20"/>
      <c r="CF72" s="21"/>
      <c r="CG72" s="11"/>
      <c r="CI72" s="1"/>
      <c r="CJ72" s="1"/>
      <c r="CK72" s="72" t="s">
        <v>28</v>
      </c>
      <c r="CL72" s="73"/>
      <c r="CM72" s="26">
        <v>25</v>
      </c>
    </row>
    <row r="73" spans="2:91" ht="15" thickBot="1" x14ac:dyDescent="0.35">
      <c r="H73" s="1"/>
      <c r="I73" s="1"/>
      <c r="J73" s="1"/>
      <c r="K73" s="28" t="s">
        <v>30</v>
      </c>
      <c r="L73" s="16">
        <f>100-L72</f>
        <v>71.665185937499999</v>
      </c>
      <c r="T73" s="1"/>
      <c r="U73" s="1"/>
      <c r="V73" s="1"/>
      <c r="W73" s="28" t="s">
        <v>30</v>
      </c>
      <c r="X73" s="16">
        <f>100-X72</f>
        <v>70.611666666666665</v>
      </c>
      <c r="Z73" s="1"/>
      <c r="AA73" s="1"/>
      <c r="AB73" s="1"/>
      <c r="AC73" s="28" t="s">
        <v>30</v>
      </c>
      <c r="AD73" s="16">
        <f>100-AD72</f>
        <v>68.548931818181813</v>
      </c>
      <c r="AF73" s="1"/>
      <c r="AG73" s="1"/>
      <c r="AH73" s="1"/>
      <c r="AI73" s="28" t="s">
        <v>30</v>
      </c>
      <c r="AJ73" s="16">
        <f>100-AJ72</f>
        <v>82.211280000000002</v>
      </c>
      <c r="AM73" s="1"/>
      <c r="AN73" s="1"/>
      <c r="AO73" s="72" t="s">
        <v>29</v>
      </c>
      <c r="AP73" s="74"/>
      <c r="AQ73" s="27">
        <f>AQ71/AQ72*100</f>
        <v>22.732666428571427</v>
      </c>
      <c r="AS73" s="1"/>
      <c r="AT73" s="1"/>
      <c r="AU73" s="72" t="s">
        <v>29</v>
      </c>
      <c r="AV73" s="74"/>
      <c r="AW73" s="27">
        <f>AW71/AW72*100</f>
        <v>22.628348750000001</v>
      </c>
      <c r="BD73" s="1"/>
      <c r="BE73" s="1"/>
      <c r="BF73" s="72" t="s">
        <v>29</v>
      </c>
      <c r="BG73" s="74"/>
      <c r="BH73" s="27">
        <f>BH71/BH72*100</f>
        <v>27.662159090909093</v>
      </c>
      <c r="BK73" s="1"/>
      <c r="BL73" s="1"/>
      <c r="BM73" s="72" t="s">
        <v>29</v>
      </c>
      <c r="BN73" s="74"/>
      <c r="BO73" s="27">
        <f>BO71/BO72*100</f>
        <v>22.041249999999998</v>
      </c>
      <c r="BQ73" s="1"/>
      <c r="BR73" s="1"/>
      <c r="BS73" s="72" t="s">
        <v>29</v>
      </c>
      <c r="BT73" s="74"/>
      <c r="BU73" s="27">
        <f>BU71/BU72*100</f>
        <v>0</v>
      </c>
      <c r="BW73" s="1"/>
      <c r="BX73" s="1"/>
      <c r="BY73" s="72" t="s">
        <v>29</v>
      </c>
      <c r="BZ73" s="74"/>
      <c r="CA73" s="27">
        <f>CA71/CA72*100</f>
        <v>0</v>
      </c>
      <c r="CC73" s="19"/>
      <c r="CD73" s="16"/>
      <c r="CE73" s="20"/>
      <c r="CF73" s="21"/>
      <c r="CG73" s="11"/>
      <c r="CI73" s="1"/>
      <c r="CJ73" s="1"/>
      <c r="CK73" s="72" t="s">
        <v>29</v>
      </c>
      <c r="CL73" s="74"/>
      <c r="CM73" s="27">
        <f>CM71/CM72*100</f>
        <v>32.899147599999999</v>
      </c>
    </row>
    <row r="74" spans="2:91" ht="15" thickBot="1" x14ac:dyDescent="0.35">
      <c r="AM74" s="1"/>
      <c r="AN74" s="1"/>
      <c r="AO74" s="1"/>
      <c r="AP74" s="28" t="s">
        <v>30</v>
      </c>
      <c r="AQ74" s="16">
        <f>100-AQ73</f>
        <v>77.267333571428566</v>
      </c>
      <c r="AS74" s="1"/>
      <c r="AT74" s="1"/>
      <c r="AU74" s="1"/>
      <c r="AV74" s="28" t="s">
        <v>30</v>
      </c>
      <c r="AW74" s="16">
        <f>100-AW73</f>
        <v>77.371651249999999</v>
      </c>
      <c r="BD74" s="1"/>
      <c r="BE74" s="1"/>
      <c r="BF74" s="1"/>
      <c r="BG74" s="28" t="s">
        <v>30</v>
      </c>
      <c r="BH74" s="16">
        <f>100-BH73</f>
        <v>72.337840909090914</v>
      </c>
      <c r="BK74" s="1"/>
      <c r="BL74" s="1"/>
      <c r="BM74" s="1"/>
      <c r="BN74" s="28" t="s">
        <v>30</v>
      </c>
      <c r="BO74" s="16">
        <f>100-BO73</f>
        <v>77.958750000000009</v>
      </c>
      <c r="BQ74" s="1"/>
      <c r="BR74" s="1"/>
      <c r="BS74" s="1"/>
      <c r="BT74" s="28" t="s">
        <v>30</v>
      </c>
      <c r="BU74" s="16">
        <f>100-BU73</f>
        <v>100</v>
      </c>
      <c r="BW74" s="1"/>
      <c r="BX74" s="1"/>
      <c r="BY74" s="1"/>
      <c r="BZ74" s="28" t="s">
        <v>30</v>
      </c>
      <c r="CA74" s="16">
        <f>100-CA73</f>
        <v>100</v>
      </c>
      <c r="CC74" s="19"/>
      <c r="CD74" s="20"/>
      <c r="CE74" s="20"/>
      <c r="CF74" s="21"/>
      <c r="CG74" s="11"/>
      <c r="CI74" s="1"/>
      <c r="CJ74" s="1"/>
      <c r="CK74" s="1"/>
      <c r="CL74" s="28" t="s">
        <v>30</v>
      </c>
      <c r="CM74" s="16">
        <f>100-CM73</f>
        <v>67.100852400000008</v>
      </c>
    </row>
    <row r="75" spans="2:91" ht="15" thickBot="1" x14ac:dyDescent="0.35">
      <c r="B75" s="79" t="s">
        <v>361</v>
      </c>
      <c r="C75" s="80"/>
      <c r="D75" s="80"/>
      <c r="E75" s="80"/>
      <c r="F75" s="81"/>
      <c r="H75" s="69" t="s">
        <v>481</v>
      </c>
      <c r="I75" s="70"/>
      <c r="J75" s="70"/>
      <c r="K75" s="70"/>
      <c r="L75" s="71"/>
      <c r="N75" s="69" t="s">
        <v>489</v>
      </c>
      <c r="O75" s="70"/>
      <c r="P75" s="70"/>
      <c r="Q75" s="70"/>
      <c r="R75" s="71"/>
      <c r="T75" s="69" t="s">
        <v>493</v>
      </c>
      <c r="U75" s="70"/>
      <c r="V75" s="70"/>
      <c r="W75" s="70"/>
      <c r="X75" s="71"/>
      <c r="CC75" s="19"/>
      <c r="CD75" s="20"/>
      <c r="CE75" s="20"/>
      <c r="CF75" s="21"/>
      <c r="CG75" s="11"/>
    </row>
    <row r="76" spans="2:91" ht="15" thickBot="1" x14ac:dyDescent="0.35">
      <c r="B76" s="2" t="s">
        <v>3</v>
      </c>
      <c r="C76" s="3" t="s">
        <v>4</v>
      </c>
      <c r="D76" s="3" t="s">
        <v>5</v>
      </c>
      <c r="E76" s="4" t="s">
        <v>6</v>
      </c>
      <c r="F76" s="5" t="s">
        <v>7</v>
      </c>
      <c r="H76" s="2" t="s">
        <v>3</v>
      </c>
      <c r="I76" s="3" t="s">
        <v>4</v>
      </c>
      <c r="J76" s="3" t="s">
        <v>5</v>
      </c>
      <c r="K76" s="4" t="s">
        <v>6</v>
      </c>
      <c r="L76" s="5"/>
      <c r="N76" s="2" t="s">
        <v>3</v>
      </c>
      <c r="O76" s="3" t="s">
        <v>4</v>
      </c>
      <c r="P76" s="3" t="s">
        <v>5</v>
      </c>
      <c r="Q76" s="4" t="s">
        <v>6</v>
      </c>
      <c r="R76" s="5" t="s">
        <v>7</v>
      </c>
      <c r="T76" s="2" t="s">
        <v>3</v>
      </c>
      <c r="U76" s="3" t="s">
        <v>4</v>
      </c>
      <c r="V76" s="3" t="s">
        <v>5</v>
      </c>
      <c r="W76" s="4" t="s">
        <v>6</v>
      </c>
      <c r="X76" s="5" t="s">
        <v>7</v>
      </c>
      <c r="Z76" s="69" t="s">
        <v>363</v>
      </c>
      <c r="AA76" s="70"/>
      <c r="AB76" s="70"/>
      <c r="AC76" s="70"/>
      <c r="AD76" s="71"/>
      <c r="AM76" s="69" t="s">
        <v>308</v>
      </c>
      <c r="AN76" s="70"/>
      <c r="AO76" s="70"/>
      <c r="AP76" s="70"/>
      <c r="AQ76" s="71"/>
      <c r="AS76" s="69" t="s">
        <v>416</v>
      </c>
      <c r="AT76" s="70"/>
      <c r="AU76" s="70"/>
      <c r="AV76" s="70"/>
      <c r="AW76" s="71"/>
      <c r="AY76" s="69" t="s">
        <v>244</v>
      </c>
      <c r="AZ76" s="70"/>
      <c r="BA76" s="70"/>
      <c r="BB76" s="70"/>
      <c r="BC76" s="71"/>
      <c r="BE76" s="69" t="s">
        <v>478</v>
      </c>
      <c r="BF76" s="70"/>
      <c r="BG76" s="70"/>
      <c r="BH76" s="70"/>
      <c r="BI76" s="71"/>
      <c r="BK76" s="69" t="s">
        <v>479</v>
      </c>
      <c r="BL76" s="70"/>
      <c r="BM76" s="70"/>
      <c r="BN76" s="70"/>
      <c r="BO76" s="71"/>
      <c r="CC76" s="15"/>
      <c r="CD76" s="16"/>
      <c r="CE76" s="17"/>
      <c r="CF76" s="18"/>
      <c r="CG76" s="11"/>
    </row>
    <row r="77" spans="2:91" ht="15" thickBot="1" x14ac:dyDescent="0.35">
      <c r="B77" s="15"/>
      <c r="C77" s="16"/>
      <c r="D77" s="17"/>
      <c r="E77" s="18"/>
      <c r="F77" s="11"/>
      <c r="H77" s="7" t="s">
        <v>247</v>
      </c>
      <c r="I77" s="8" t="s">
        <v>11</v>
      </c>
      <c r="J77" s="9">
        <v>0.34</v>
      </c>
      <c r="K77" s="10">
        <v>8</v>
      </c>
      <c r="L77" s="11">
        <f t="shared" ref="L77:L85" si="50">+K77*J77</f>
        <v>2.72</v>
      </c>
      <c r="N77" s="7" t="s">
        <v>490</v>
      </c>
      <c r="O77" s="8" t="s">
        <v>34</v>
      </c>
      <c r="P77" s="9">
        <v>0.5</v>
      </c>
      <c r="Q77" s="10">
        <v>1</v>
      </c>
      <c r="R77" s="11">
        <f t="shared" ref="R77:R91" si="51">+Q77*P77</f>
        <v>0.5</v>
      </c>
      <c r="T77" s="7" t="s">
        <v>490</v>
      </c>
      <c r="U77" s="8" t="s">
        <v>34</v>
      </c>
      <c r="V77" s="9">
        <v>0.5</v>
      </c>
      <c r="W77" s="10">
        <v>1</v>
      </c>
      <c r="X77" s="11">
        <f t="shared" ref="X77:X91" si="52">+W77*V77</f>
        <v>0.5</v>
      </c>
      <c r="Z77" s="2" t="s">
        <v>3</v>
      </c>
      <c r="AA77" s="3" t="s">
        <v>4</v>
      </c>
      <c r="AB77" s="3" t="s">
        <v>5</v>
      </c>
      <c r="AC77" s="4" t="s">
        <v>6</v>
      </c>
      <c r="AD77" s="5" t="s">
        <v>7</v>
      </c>
      <c r="AM77" s="2" t="s">
        <v>3</v>
      </c>
      <c r="AN77" s="3" t="s">
        <v>4</v>
      </c>
      <c r="AO77" s="3" t="s">
        <v>5</v>
      </c>
      <c r="AP77" s="4" t="s">
        <v>6</v>
      </c>
      <c r="AQ77" s="5" t="s">
        <v>7</v>
      </c>
      <c r="AS77" s="2" t="s">
        <v>3</v>
      </c>
      <c r="AT77" s="3" t="s">
        <v>4</v>
      </c>
      <c r="AU77" s="3" t="s">
        <v>5</v>
      </c>
      <c r="AV77" s="4" t="s">
        <v>6</v>
      </c>
      <c r="AW77" s="5" t="s">
        <v>7</v>
      </c>
      <c r="AY77" s="2" t="s">
        <v>3</v>
      </c>
      <c r="AZ77" s="3" t="s">
        <v>4</v>
      </c>
      <c r="BA77" s="3" t="s">
        <v>5</v>
      </c>
      <c r="BB77" s="4" t="s">
        <v>6</v>
      </c>
      <c r="BC77" s="5"/>
      <c r="BE77" s="2" t="s">
        <v>3</v>
      </c>
      <c r="BF77" s="3" t="s">
        <v>4</v>
      </c>
      <c r="BG77" s="3" t="s">
        <v>5</v>
      </c>
      <c r="BH77" s="4" t="s">
        <v>6</v>
      </c>
      <c r="BI77" s="5" t="s">
        <v>7</v>
      </c>
      <c r="BK77" s="2" t="s">
        <v>3</v>
      </c>
      <c r="BL77" s="3" t="s">
        <v>4</v>
      </c>
      <c r="BM77" s="3" t="s">
        <v>5</v>
      </c>
      <c r="BN77" s="4" t="s">
        <v>6</v>
      </c>
      <c r="BO77" s="5" t="s">
        <v>7</v>
      </c>
      <c r="CC77" s="15" t="s">
        <v>131</v>
      </c>
      <c r="CD77" s="16"/>
      <c r="CE77" s="17">
        <v>0.15</v>
      </c>
      <c r="CF77" s="18">
        <v>1</v>
      </c>
      <c r="CG77" s="11">
        <f>+CF77*CE77</f>
        <v>0.15</v>
      </c>
    </row>
    <row r="78" spans="2:91" x14ac:dyDescent="0.3">
      <c r="B78" s="15"/>
      <c r="C78" s="16"/>
      <c r="D78" s="39"/>
      <c r="E78" s="18"/>
      <c r="F78" s="11"/>
      <c r="H78" s="15" t="s">
        <v>482</v>
      </c>
      <c r="I78" s="16" t="s">
        <v>11</v>
      </c>
      <c r="J78" s="17">
        <v>3</v>
      </c>
      <c r="K78" s="18">
        <v>0.08</v>
      </c>
      <c r="L78" s="11">
        <f t="shared" si="50"/>
        <v>0.24</v>
      </c>
      <c r="N78" s="15" t="s">
        <v>134</v>
      </c>
      <c r="O78" s="16" t="s">
        <v>128</v>
      </c>
      <c r="P78" s="17">
        <v>5.34</v>
      </c>
      <c r="Q78" s="18">
        <v>0.05</v>
      </c>
      <c r="R78" s="11">
        <f t="shared" si="51"/>
        <v>0.26700000000000002</v>
      </c>
      <c r="T78" s="15" t="s">
        <v>494</v>
      </c>
      <c r="U78" s="16" t="s">
        <v>128</v>
      </c>
      <c r="V78" s="17">
        <v>20.12</v>
      </c>
      <c r="W78" s="18">
        <v>0.05</v>
      </c>
      <c r="X78" s="11">
        <f t="shared" si="52"/>
        <v>1.006</v>
      </c>
      <c r="Z78" s="7"/>
      <c r="AA78" s="8"/>
      <c r="AB78" s="9"/>
      <c r="AC78" s="10"/>
      <c r="AD78" s="11"/>
      <c r="AM78" s="7" t="s">
        <v>22</v>
      </c>
      <c r="AN78" s="8" t="s">
        <v>34</v>
      </c>
      <c r="AO78" s="9">
        <v>1.43</v>
      </c>
      <c r="AP78" s="10">
        <v>0.5</v>
      </c>
      <c r="AQ78" s="11">
        <f t="shared" ref="AQ78:AQ93" si="53">+AP78*AO78</f>
        <v>0.71499999999999997</v>
      </c>
      <c r="AS78" s="7" t="s">
        <v>125</v>
      </c>
      <c r="AT78" s="8" t="s">
        <v>34</v>
      </c>
      <c r="AU78" s="9">
        <v>12.65</v>
      </c>
      <c r="AV78" s="10">
        <v>0.2</v>
      </c>
      <c r="AW78" s="11">
        <f t="shared" ref="AW78:AW88" si="54">+AV78*AU78</f>
        <v>2.5300000000000002</v>
      </c>
      <c r="AY78" s="7" t="s">
        <v>244</v>
      </c>
      <c r="AZ78" s="8" t="s">
        <v>34</v>
      </c>
      <c r="BA78" s="9">
        <v>12.65</v>
      </c>
      <c r="BB78" s="10">
        <v>0.35</v>
      </c>
      <c r="BC78" s="11">
        <f t="shared" ref="BC78:BC92" si="55">+BB78*BA78</f>
        <v>4.4275000000000002</v>
      </c>
      <c r="BE78" s="7" t="s">
        <v>478</v>
      </c>
      <c r="BF78" s="8" t="s">
        <v>34</v>
      </c>
      <c r="BG78" s="9">
        <v>4.2</v>
      </c>
      <c r="BH78" s="10">
        <v>0.25</v>
      </c>
      <c r="BI78" s="11">
        <f t="shared" ref="BI78" si="56">+BH78*BG78</f>
        <v>1.05</v>
      </c>
      <c r="BK78" s="7" t="s">
        <v>478</v>
      </c>
      <c r="BL78" s="8" t="s">
        <v>34</v>
      </c>
      <c r="BM78" s="9">
        <v>4.2</v>
      </c>
      <c r="BN78" s="10">
        <v>0.25</v>
      </c>
      <c r="BO78" s="11">
        <f t="shared" ref="BO78" si="57">+BN78*BM78</f>
        <v>1.05</v>
      </c>
      <c r="CC78" s="19"/>
      <c r="CD78" s="20"/>
      <c r="CE78" s="20"/>
      <c r="CF78" s="21"/>
      <c r="CG78" s="11">
        <f t="shared" si="43"/>
        <v>0</v>
      </c>
    </row>
    <row r="79" spans="2:91" ht="15" thickBot="1" x14ac:dyDescent="0.35">
      <c r="B79" s="15" t="s">
        <v>179</v>
      </c>
      <c r="C79" s="16"/>
      <c r="D79" s="17">
        <v>2.1</v>
      </c>
      <c r="E79" s="18">
        <v>0.05</v>
      </c>
      <c r="F79" s="11">
        <f t="shared" ref="F79:F85" si="58">+E79*D79</f>
        <v>0.10500000000000001</v>
      </c>
      <c r="H79" s="15" t="s">
        <v>156</v>
      </c>
      <c r="I79" s="16" t="s">
        <v>44</v>
      </c>
      <c r="J79" s="17">
        <v>1.8</v>
      </c>
      <c r="K79" s="18">
        <v>0.01</v>
      </c>
      <c r="L79" s="11">
        <f t="shared" si="50"/>
        <v>1.8000000000000002E-2</v>
      </c>
      <c r="N79" s="15" t="s">
        <v>199</v>
      </c>
      <c r="O79" s="16" t="s">
        <v>11</v>
      </c>
      <c r="P79" s="17">
        <v>0.6</v>
      </c>
      <c r="Q79" s="18">
        <v>0.25</v>
      </c>
      <c r="R79" s="11">
        <f t="shared" si="51"/>
        <v>0.15</v>
      </c>
      <c r="T79" s="15" t="s">
        <v>199</v>
      </c>
      <c r="U79" s="16" t="s">
        <v>11</v>
      </c>
      <c r="V79" s="17">
        <v>0.6</v>
      </c>
      <c r="W79" s="18">
        <v>0.25</v>
      </c>
      <c r="X79" s="11">
        <f t="shared" si="52"/>
        <v>0.15</v>
      </c>
      <c r="Z79" s="15" t="s">
        <v>367</v>
      </c>
      <c r="AA79" s="16" t="s">
        <v>128</v>
      </c>
      <c r="AB79" s="17">
        <v>0.5</v>
      </c>
      <c r="AC79" s="18">
        <v>1</v>
      </c>
      <c r="AD79" s="11">
        <v>0.5</v>
      </c>
      <c r="AM79" s="15" t="s">
        <v>19</v>
      </c>
      <c r="AN79" s="16" t="s">
        <v>34</v>
      </c>
      <c r="AO79" s="17">
        <v>0.15</v>
      </c>
      <c r="AP79" s="18">
        <v>6</v>
      </c>
      <c r="AQ79" s="11">
        <f t="shared" si="53"/>
        <v>0.89999999999999991</v>
      </c>
      <c r="AS79" s="15"/>
      <c r="AT79" s="16"/>
      <c r="AU79" s="17"/>
      <c r="AV79" s="18"/>
      <c r="AW79" s="11">
        <f t="shared" si="54"/>
        <v>0</v>
      </c>
      <c r="AY79" s="15" t="s">
        <v>245</v>
      </c>
      <c r="AZ79" s="16"/>
      <c r="BA79" s="17">
        <v>0.15</v>
      </c>
      <c r="BB79" s="18"/>
      <c r="BC79" s="11">
        <f t="shared" si="55"/>
        <v>0</v>
      </c>
      <c r="BE79" s="15"/>
      <c r="BF79" s="16"/>
      <c r="BG79" s="17"/>
      <c r="BH79" s="18"/>
      <c r="BI79" s="11"/>
      <c r="BK79" s="15"/>
      <c r="BL79" s="16"/>
      <c r="BM79" s="17"/>
      <c r="BN79" s="18"/>
      <c r="BO79" s="11"/>
      <c r="CC79" s="22"/>
      <c r="CD79" s="23"/>
      <c r="CE79" s="23"/>
      <c r="CF79" s="24"/>
      <c r="CG79" s="25"/>
    </row>
    <row r="80" spans="2:91" ht="15" thickBot="1" x14ac:dyDescent="0.35">
      <c r="B80" s="15" t="s">
        <v>360</v>
      </c>
      <c r="C80" s="16"/>
      <c r="D80" s="17">
        <v>3</v>
      </c>
      <c r="E80" s="18">
        <v>0.1</v>
      </c>
      <c r="F80" s="11">
        <f t="shared" si="58"/>
        <v>0.30000000000000004</v>
      </c>
      <c r="H80" s="15" t="s">
        <v>486</v>
      </c>
      <c r="I80" s="16" t="s">
        <v>11</v>
      </c>
      <c r="J80" s="17">
        <v>4</v>
      </c>
      <c r="K80" s="18">
        <v>0.02</v>
      </c>
      <c r="L80" s="11">
        <f t="shared" si="50"/>
        <v>0.08</v>
      </c>
      <c r="N80" s="15" t="s">
        <v>200</v>
      </c>
      <c r="O80" s="16" t="s">
        <v>11</v>
      </c>
      <c r="P80" s="17">
        <v>3.83</v>
      </c>
      <c r="Q80" s="18">
        <v>0.05</v>
      </c>
      <c r="R80" s="11">
        <f t="shared" si="51"/>
        <v>0.1915</v>
      </c>
      <c r="T80" s="15" t="s">
        <v>200</v>
      </c>
      <c r="U80" s="16" t="s">
        <v>11</v>
      </c>
      <c r="V80" s="17">
        <v>3.83</v>
      </c>
      <c r="W80" s="18">
        <v>0.05</v>
      </c>
      <c r="X80" s="11">
        <f t="shared" si="52"/>
        <v>0.1915</v>
      </c>
      <c r="Z80" s="15" t="s">
        <v>141</v>
      </c>
      <c r="AA80" s="16" t="s">
        <v>34</v>
      </c>
      <c r="AB80" s="17">
        <v>0.6</v>
      </c>
      <c r="AC80" s="18">
        <v>0.1</v>
      </c>
      <c r="AD80" s="11">
        <f t="shared" ref="AD80:AD90" si="59">+AC80*AB80</f>
        <v>0.06</v>
      </c>
      <c r="AM80" s="15" t="s">
        <v>253</v>
      </c>
      <c r="AN80" s="16" t="s">
        <v>38</v>
      </c>
      <c r="AO80" s="17">
        <v>13.33</v>
      </c>
      <c r="AP80" s="18">
        <v>1.4999999999999999E-2</v>
      </c>
      <c r="AQ80" s="11">
        <f t="shared" si="53"/>
        <v>0.19994999999999999</v>
      </c>
      <c r="AR80" t="s">
        <v>309</v>
      </c>
      <c r="AS80" s="15" t="s">
        <v>417</v>
      </c>
      <c r="AT80" s="16"/>
      <c r="AU80" s="17">
        <v>4.5199999999999996</v>
      </c>
      <c r="AV80" s="18">
        <v>0.1</v>
      </c>
      <c r="AW80" s="11">
        <f t="shared" si="54"/>
        <v>0.45199999999999996</v>
      </c>
      <c r="AY80" s="15" t="s">
        <v>156</v>
      </c>
      <c r="AZ80" s="16"/>
      <c r="BA80" s="17">
        <v>1.8</v>
      </c>
      <c r="BB80" s="18">
        <v>0.01</v>
      </c>
      <c r="BC80" s="11">
        <f t="shared" si="55"/>
        <v>1.8000000000000002E-2</v>
      </c>
      <c r="BE80" s="15"/>
      <c r="BF80" s="16"/>
      <c r="BG80" s="17"/>
      <c r="BH80" s="18"/>
      <c r="BI80" s="11"/>
      <c r="BK80" s="15"/>
      <c r="BL80" s="16"/>
      <c r="BM80" s="17"/>
      <c r="BN80" s="18"/>
      <c r="BO80" s="11"/>
      <c r="CC80" s="1"/>
      <c r="CD80" s="1"/>
      <c r="CE80" s="72" t="s">
        <v>26</v>
      </c>
      <c r="CF80" s="73"/>
      <c r="CG80" s="26">
        <f>SUM(CG54:CG79)</f>
        <v>5.9139800000000005</v>
      </c>
    </row>
    <row r="81" spans="1:85" ht="15" thickBot="1" x14ac:dyDescent="0.35">
      <c r="B81" s="15" t="s">
        <v>204</v>
      </c>
      <c r="C81" s="16" t="s">
        <v>11</v>
      </c>
      <c r="D81" s="17">
        <v>3.83</v>
      </c>
      <c r="E81" s="18">
        <v>1.4999999999999999E-2</v>
      </c>
      <c r="F81" s="11">
        <f t="shared" si="58"/>
        <v>5.7450000000000001E-2</v>
      </c>
      <c r="H81" s="15" t="s">
        <v>485</v>
      </c>
      <c r="I81" s="16" t="s">
        <v>11</v>
      </c>
      <c r="J81" s="17">
        <v>40</v>
      </c>
      <c r="K81" s="18">
        <v>0.02</v>
      </c>
      <c r="L81" s="11">
        <f t="shared" si="50"/>
        <v>0.8</v>
      </c>
      <c r="N81" s="15" t="s">
        <v>201</v>
      </c>
      <c r="O81" s="16" t="s">
        <v>44</v>
      </c>
      <c r="P81" s="17">
        <v>1</v>
      </c>
      <c r="Q81" s="18">
        <v>5.0000000000000001E-3</v>
      </c>
      <c r="R81" s="11">
        <f t="shared" si="51"/>
        <v>5.0000000000000001E-3</v>
      </c>
      <c r="T81" s="15" t="s">
        <v>201</v>
      </c>
      <c r="U81" s="16" t="s">
        <v>44</v>
      </c>
      <c r="V81" s="17">
        <v>1</v>
      </c>
      <c r="W81" s="18">
        <v>5.0000000000000001E-3</v>
      </c>
      <c r="X81" s="11">
        <f t="shared" si="52"/>
        <v>5.0000000000000001E-3</v>
      </c>
      <c r="Z81" s="15"/>
      <c r="AA81" s="16"/>
      <c r="AB81" s="17"/>
      <c r="AC81" s="18"/>
      <c r="AD81" s="11"/>
      <c r="AM81" s="15"/>
      <c r="AN81" s="16"/>
      <c r="AO81" s="17">
        <v>1</v>
      </c>
      <c r="AP81" s="18"/>
      <c r="AQ81" s="11">
        <v>5.84</v>
      </c>
      <c r="AS81" s="15" t="s">
        <v>156</v>
      </c>
      <c r="AT81" s="16" t="s">
        <v>38</v>
      </c>
      <c r="AU81" s="17">
        <v>1.5</v>
      </c>
      <c r="AV81" s="18">
        <v>0.02</v>
      </c>
      <c r="AW81" s="11">
        <f t="shared" si="54"/>
        <v>0.03</v>
      </c>
      <c r="AY81" s="15" t="s">
        <v>167</v>
      </c>
      <c r="AZ81" s="16"/>
      <c r="BA81" s="17">
        <v>11</v>
      </c>
      <c r="BB81" s="18">
        <v>2E-3</v>
      </c>
      <c r="BC81" s="11">
        <f t="shared" si="55"/>
        <v>2.1999999999999999E-2</v>
      </c>
      <c r="BE81" s="15"/>
      <c r="BF81" s="16"/>
      <c r="BG81" s="17"/>
      <c r="BH81" s="18"/>
      <c r="BI81" s="11"/>
      <c r="BK81" s="15"/>
      <c r="BL81" s="16"/>
      <c r="BM81" s="17"/>
      <c r="BN81" s="18"/>
      <c r="BO81" s="11"/>
      <c r="CC81" s="1"/>
      <c r="CD81" s="1"/>
      <c r="CE81" s="72" t="s">
        <v>27</v>
      </c>
      <c r="CF81" s="73"/>
      <c r="CG81" s="26">
        <f>+CG80*1.145</f>
        <v>6.7715071000000009</v>
      </c>
    </row>
    <row r="82" spans="1:85" ht="15" thickBot="1" x14ac:dyDescent="0.35">
      <c r="B82" s="15" t="s">
        <v>257</v>
      </c>
      <c r="C82" s="16" t="s">
        <v>44</v>
      </c>
      <c r="D82" s="17">
        <v>1</v>
      </c>
      <c r="E82" s="18">
        <v>0.1</v>
      </c>
      <c r="F82" s="11">
        <f t="shared" si="58"/>
        <v>0.1</v>
      </c>
      <c r="H82" s="19"/>
      <c r="I82" s="20"/>
      <c r="J82" s="20"/>
      <c r="K82" s="21"/>
      <c r="L82" s="11">
        <f t="shared" si="50"/>
        <v>0</v>
      </c>
      <c r="N82" s="15" t="s">
        <v>167</v>
      </c>
      <c r="O82" s="16"/>
      <c r="P82" s="17">
        <v>11</v>
      </c>
      <c r="Q82" s="18">
        <v>2E-3</v>
      </c>
      <c r="R82" s="11">
        <f t="shared" si="51"/>
        <v>2.1999999999999999E-2</v>
      </c>
      <c r="T82" s="15" t="s">
        <v>167</v>
      </c>
      <c r="U82" s="16"/>
      <c r="V82" s="17">
        <v>11</v>
      </c>
      <c r="W82" s="18">
        <v>2E-3</v>
      </c>
      <c r="X82" s="11">
        <f t="shared" si="52"/>
        <v>2.1999999999999999E-2</v>
      </c>
      <c r="Z82" s="15" t="s">
        <v>149</v>
      </c>
      <c r="AA82" s="16" t="s">
        <v>11</v>
      </c>
      <c r="AB82" s="17">
        <v>3.38</v>
      </c>
      <c r="AC82" s="18">
        <v>0.06</v>
      </c>
      <c r="AD82" s="11">
        <f t="shared" si="59"/>
        <v>0.20279999999999998</v>
      </c>
      <c r="AM82" s="15"/>
      <c r="AN82" s="16"/>
      <c r="AO82" s="17"/>
      <c r="AP82" s="18"/>
      <c r="AQ82" s="11"/>
      <c r="AS82" s="15" t="s">
        <v>166</v>
      </c>
      <c r="AT82" s="16"/>
      <c r="AU82" s="17">
        <v>0.02</v>
      </c>
      <c r="AV82" s="18">
        <v>2E-3</v>
      </c>
      <c r="AW82" s="11">
        <f t="shared" si="54"/>
        <v>4.0000000000000003E-5</v>
      </c>
      <c r="AY82" s="15" t="s">
        <v>246</v>
      </c>
      <c r="AZ82" s="16"/>
      <c r="BA82" s="17">
        <v>3</v>
      </c>
      <c r="BB82" s="18">
        <v>0.2</v>
      </c>
      <c r="BC82" s="11">
        <f t="shared" si="55"/>
        <v>0.60000000000000009</v>
      </c>
      <c r="BE82" s="15"/>
      <c r="BF82" s="16"/>
      <c r="BG82" s="17"/>
      <c r="BH82" s="18"/>
      <c r="BI82" s="11"/>
      <c r="BK82" s="15"/>
      <c r="BL82" s="16"/>
      <c r="BM82" s="17"/>
      <c r="BN82" s="18"/>
      <c r="BO82" s="11"/>
      <c r="CC82" s="1"/>
      <c r="CD82" s="1"/>
      <c r="CE82" s="72" t="s">
        <v>28</v>
      </c>
      <c r="CF82" s="73"/>
      <c r="CG82" s="26">
        <v>25</v>
      </c>
    </row>
    <row r="83" spans="1:85" ht="15" thickBot="1" x14ac:dyDescent="0.35">
      <c r="B83" s="15" t="s">
        <v>167</v>
      </c>
      <c r="C83" s="16"/>
      <c r="D83" s="17">
        <v>11</v>
      </c>
      <c r="E83" s="18">
        <v>2E-3</v>
      </c>
      <c r="F83" s="11">
        <f t="shared" si="58"/>
        <v>2.1999999999999999E-2</v>
      </c>
      <c r="H83" s="15" t="s">
        <v>10</v>
      </c>
      <c r="I83" s="16" t="s">
        <v>11</v>
      </c>
      <c r="J83" s="17">
        <v>8.6999999999999993</v>
      </c>
      <c r="K83" s="18">
        <v>0.02</v>
      </c>
      <c r="L83" s="11">
        <f t="shared" si="50"/>
        <v>0.17399999999999999</v>
      </c>
      <c r="N83" s="15"/>
      <c r="O83" s="16"/>
      <c r="P83" s="17"/>
      <c r="Q83" s="18"/>
      <c r="R83" s="11">
        <f t="shared" si="51"/>
        <v>0</v>
      </c>
      <c r="T83" s="15"/>
      <c r="U83" s="16"/>
      <c r="V83" s="17"/>
      <c r="W83" s="18"/>
      <c r="X83" s="11">
        <f t="shared" si="52"/>
        <v>0</v>
      </c>
      <c r="Z83" s="15" t="s">
        <v>157</v>
      </c>
      <c r="AA83" s="16" t="s">
        <v>11</v>
      </c>
      <c r="AB83" s="17">
        <v>3.83</v>
      </c>
      <c r="AC83" s="18">
        <v>0.03</v>
      </c>
      <c r="AD83" s="11">
        <f t="shared" si="59"/>
        <v>0.1149</v>
      </c>
      <c r="AM83" s="15"/>
      <c r="AN83" s="16"/>
      <c r="AO83" s="17"/>
      <c r="AP83" s="18"/>
      <c r="AQ83" s="11"/>
      <c r="AS83" s="15" t="s">
        <v>140</v>
      </c>
      <c r="AT83" s="16" t="s">
        <v>11</v>
      </c>
      <c r="AU83" s="17">
        <v>6</v>
      </c>
      <c r="AV83" s="18">
        <v>2E-3</v>
      </c>
      <c r="AW83" s="11">
        <f t="shared" si="54"/>
        <v>1.2E-2</v>
      </c>
      <c r="AY83" s="19" t="s">
        <v>170</v>
      </c>
      <c r="AZ83" s="20" t="s">
        <v>11</v>
      </c>
      <c r="BA83" s="20">
        <v>1.8</v>
      </c>
      <c r="BB83" s="21">
        <v>0.25</v>
      </c>
      <c r="BC83" s="11">
        <f t="shared" si="55"/>
        <v>0.45</v>
      </c>
      <c r="BE83" s="15"/>
      <c r="BF83" s="16"/>
      <c r="BG83" s="17"/>
      <c r="BH83" s="18"/>
      <c r="BI83" s="11"/>
      <c r="BK83" s="15"/>
      <c r="BL83" s="16"/>
      <c r="BM83" s="17"/>
      <c r="BN83" s="18"/>
      <c r="BO83" s="11"/>
      <c r="CC83" s="1"/>
      <c r="CD83" s="1"/>
      <c r="CE83" s="72" t="s">
        <v>29</v>
      </c>
      <c r="CF83" s="74"/>
      <c r="CG83" s="27">
        <f>CG81/CG82*100</f>
        <v>27.086028400000007</v>
      </c>
    </row>
    <row r="84" spans="1:85" x14ac:dyDescent="0.3">
      <c r="B84" s="19" t="s">
        <v>134</v>
      </c>
      <c r="C84" s="20"/>
      <c r="D84" s="20">
        <v>5.34</v>
      </c>
      <c r="E84" s="21">
        <v>0.15</v>
      </c>
      <c r="F84" s="11">
        <f t="shared" si="58"/>
        <v>0.80099999999999993</v>
      </c>
      <c r="H84" s="15" t="s">
        <v>183</v>
      </c>
      <c r="I84" s="16" t="s">
        <v>11</v>
      </c>
      <c r="J84" s="17">
        <v>6</v>
      </c>
      <c r="K84" s="18">
        <v>0.01</v>
      </c>
      <c r="L84" s="11">
        <f t="shared" si="50"/>
        <v>0.06</v>
      </c>
      <c r="N84" s="15"/>
      <c r="O84" s="16"/>
      <c r="P84" s="17"/>
      <c r="Q84" s="18"/>
      <c r="R84" s="11">
        <f t="shared" si="51"/>
        <v>0</v>
      </c>
      <c r="T84" s="15"/>
      <c r="U84" s="16"/>
      <c r="V84" s="17"/>
      <c r="W84" s="18"/>
      <c r="X84" s="11">
        <f t="shared" si="52"/>
        <v>0</v>
      </c>
      <c r="Z84" s="15" t="s">
        <v>165</v>
      </c>
      <c r="AA84" s="16" t="s">
        <v>11</v>
      </c>
      <c r="AB84" s="17">
        <v>1</v>
      </c>
      <c r="AC84" s="18">
        <v>0.06</v>
      </c>
      <c r="AD84" s="11">
        <f t="shared" si="59"/>
        <v>0.06</v>
      </c>
      <c r="AM84" s="15"/>
      <c r="AN84" s="16"/>
      <c r="AO84" s="17"/>
      <c r="AP84" s="18"/>
      <c r="AQ84" s="11"/>
      <c r="AS84" s="19" t="s">
        <v>167</v>
      </c>
      <c r="AT84" s="20" t="s">
        <v>11</v>
      </c>
      <c r="AU84" s="20">
        <v>11</v>
      </c>
      <c r="AV84" s="21">
        <v>2E-3</v>
      </c>
      <c r="AW84" s="11">
        <f t="shared" si="54"/>
        <v>2.1999999999999999E-2</v>
      </c>
      <c r="AY84" s="15"/>
      <c r="AZ84" s="16"/>
      <c r="BA84" s="17"/>
      <c r="BB84" s="18"/>
      <c r="BC84" s="11">
        <f t="shared" si="55"/>
        <v>0</v>
      </c>
      <c r="BE84" s="15"/>
      <c r="BF84" s="16"/>
      <c r="BG84" s="17"/>
      <c r="BH84" s="18"/>
      <c r="BI84" s="11"/>
      <c r="BK84" s="15"/>
      <c r="BL84" s="16"/>
      <c r="BM84" s="17"/>
      <c r="BN84" s="18"/>
      <c r="BO84" s="11"/>
      <c r="CC84" s="1"/>
      <c r="CD84" s="1"/>
      <c r="CE84" s="1"/>
      <c r="CF84" s="28" t="s">
        <v>30</v>
      </c>
      <c r="CG84" s="16">
        <f>100-CG83</f>
        <v>72.913971599999996</v>
      </c>
    </row>
    <row r="85" spans="1:85" x14ac:dyDescent="0.3">
      <c r="B85" s="19" t="s">
        <v>358</v>
      </c>
      <c r="C85" s="20"/>
      <c r="D85" s="20">
        <v>1.8</v>
      </c>
      <c r="E85" s="21">
        <v>0.1</v>
      </c>
      <c r="F85" s="11">
        <f t="shared" si="58"/>
        <v>0.18000000000000002</v>
      </c>
      <c r="H85" s="19" t="s">
        <v>483</v>
      </c>
      <c r="I85" s="20" t="s">
        <v>11</v>
      </c>
      <c r="J85" s="20">
        <v>11</v>
      </c>
      <c r="K85" s="21">
        <v>6.0000000000000001E-3</v>
      </c>
      <c r="L85" s="11">
        <f t="shared" si="50"/>
        <v>6.6000000000000003E-2</v>
      </c>
      <c r="N85" s="19"/>
      <c r="O85" s="20"/>
      <c r="P85" s="20"/>
      <c r="Q85" s="21"/>
      <c r="R85" s="11">
        <f t="shared" si="51"/>
        <v>0</v>
      </c>
      <c r="T85" s="19"/>
      <c r="U85" s="20"/>
      <c r="V85" s="20"/>
      <c r="W85" s="21"/>
      <c r="X85" s="11">
        <f t="shared" si="52"/>
        <v>0</v>
      </c>
      <c r="Z85" s="15" t="s">
        <v>170</v>
      </c>
      <c r="AA85" s="16" t="s">
        <v>11</v>
      </c>
      <c r="AB85" s="17">
        <v>1.8</v>
      </c>
      <c r="AC85" s="18">
        <v>0.25</v>
      </c>
      <c r="AD85" s="11">
        <f t="shared" si="59"/>
        <v>0.45</v>
      </c>
      <c r="AM85" s="15"/>
      <c r="AN85" s="16"/>
      <c r="AO85" s="17"/>
      <c r="AP85" s="18"/>
      <c r="AQ85" s="11"/>
      <c r="AS85" s="19" t="s">
        <v>170</v>
      </c>
      <c r="AT85" s="20" t="s">
        <v>11</v>
      </c>
      <c r="AU85" s="20">
        <v>1.8</v>
      </c>
      <c r="AV85" s="21">
        <v>0.25</v>
      </c>
      <c r="AW85" s="11">
        <f t="shared" si="54"/>
        <v>0.45</v>
      </c>
      <c r="AY85" s="15"/>
      <c r="AZ85" s="16"/>
      <c r="BA85" s="17"/>
      <c r="BB85" s="18"/>
      <c r="BC85" s="11">
        <f t="shared" si="55"/>
        <v>0</v>
      </c>
      <c r="BE85" s="15"/>
      <c r="BF85" s="16"/>
      <c r="BG85" s="17"/>
      <c r="BH85" s="18"/>
      <c r="BI85" s="11"/>
      <c r="BK85" s="15"/>
      <c r="BL85" s="16"/>
      <c r="BM85" s="17"/>
      <c r="BN85" s="18"/>
      <c r="BO85" s="11"/>
    </row>
    <row r="86" spans="1:85" x14ac:dyDescent="0.3">
      <c r="B86" s="62"/>
      <c r="C86" s="20"/>
      <c r="D86" s="20"/>
      <c r="E86" s="63"/>
      <c r="F86" s="11"/>
      <c r="H86" s="19"/>
      <c r="I86" s="20"/>
      <c r="J86" s="20"/>
      <c r="K86" s="21"/>
      <c r="L86" s="11"/>
      <c r="N86" s="19"/>
      <c r="O86" s="20"/>
      <c r="P86" s="20"/>
      <c r="Q86" s="21"/>
      <c r="R86" s="11">
        <f t="shared" si="51"/>
        <v>0</v>
      </c>
      <c r="T86" s="19"/>
      <c r="U86" s="20"/>
      <c r="V86" s="20"/>
      <c r="W86" s="21"/>
      <c r="X86" s="11">
        <f t="shared" si="52"/>
        <v>0</v>
      </c>
      <c r="Z86" s="19"/>
      <c r="AA86" s="20"/>
      <c r="AB86" s="64"/>
      <c r="AC86" s="21"/>
      <c r="AD86" s="11"/>
      <c r="AM86" s="19"/>
      <c r="AN86" s="20"/>
      <c r="AO86" s="64"/>
      <c r="AP86" s="21"/>
      <c r="AQ86" s="11"/>
      <c r="AS86" s="19" t="s">
        <v>167</v>
      </c>
      <c r="AT86" s="20" t="s">
        <v>11</v>
      </c>
      <c r="AU86" s="20">
        <v>11</v>
      </c>
      <c r="AV86" s="21">
        <v>2E-3</v>
      </c>
      <c r="AW86" s="11">
        <f t="shared" si="54"/>
        <v>2.1999999999999999E-2</v>
      </c>
      <c r="AY86" s="19"/>
      <c r="AZ86" s="20"/>
      <c r="BA86" s="20"/>
      <c r="BB86" s="21"/>
      <c r="BC86" s="11">
        <f t="shared" si="55"/>
        <v>0</v>
      </c>
      <c r="BE86" s="19" t="s">
        <v>45</v>
      </c>
      <c r="BF86" s="20" t="s">
        <v>11</v>
      </c>
      <c r="BG86" s="20">
        <v>1</v>
      </c>
      <c r="BH86" s="21">
        <v>0.02</v>
      </c>
      <c r="BI86" s="11">
        <f t="shared" ref="BI86:BI92" si="60">+BH86*BG86</f>
        <v>0.02</v>
      </c>
      <c r="BK86" s="19" t="s">
        <v>45</v>
      </c>
      <c r="BL86" s="20" t="s">
        <v>11</v>
      </c>
      <c r="BM86" s="20">
        <v>1</v>
      </c>
      <c r="BN86" s="21">
        <v>0.02</v>
      </c>
      <c r="BO86" s="11">
        <f t="shared" ref="BO86:BO92" si="61">+BN86*BM86</f>
        <v>0.02</v>
      </c>
    </row>
    <row r="87" spans="1:85" x14ac:dyDescent="0.3">
      <c r="A87" s="19" t="s">
        <v>167</v>
      </c>
      <c r="B87" s="20" t="s">
        <v>11</v>
      </c>
      <c r="C87" s="20">
        <v>11</v>
      </c>
      <c r="D87" s="21">
        <v>2E-3</v>
      </c>
      <c r="E87" s="11">
        <f t="shared" ref="E87:E89" si="62">+D87*C87</f>
        <v>2.1999999999999999E-2</v>
      </c>
      <c r="F87" s="11">
        <f>+E90*D90</f>
        <v>0.15</v>
      </c>
      <c r="H87" s="19"/>
      <c r="I87" s="20"/>
      <c r="J87" s="20"/>
      <c r="K87" s="21"/>
      <c r="L87" s="11"/>
      <c r="N87" s="19"/>
      <c r="O87" s="20"/>
      <c r="P87" s="20"/>
      <c r="Q87" s="21"/>
      <c r="R87" s="11">
        <f t="shared" si="51"/>
        <v>0</v>
      </c>
      <c r="T87" s="19"/>
      <c r="U87" s="20"/>
      <c r="V87" s="20"/>
      <c r="W87" s="21"/>
      <c r="X87" s="11">
        <f t="shared" si="52"/>
        <v>0</v>
      </c>
      <c r="Z87" s="19" t="s">
        <v>154</v>
      </c>
      <c r="AA87" s="20" t="s">
        <v>44</v>
      </c>
      <c r="AB87" s="20">
        <v>1.5</v>
      </c>
      <c r="AC87" s="21">
        <v>0.01</v>
      </c>
      <c r="AD87" s="11">
        <f t="shared" si="59"/>
        <v>1.4999999999999999E-2</v>
      </c>
      <c r="AM87" s="19"/>
      <c r="AN87" s="20"/>
      <c r="AO87" s="20"/>
      <c r="AP87" s="21"/>
      <c r="AQ87" s="11"/>
      <c r="AS87" s="19"/>
      <c r="AT87" s="20"/>
      <c r="AU87" s="20"/>
      <c r="AV87" s="21"/>
      <c r="AW87" s="11"/>
      <c r="AY87" s="19"/>
      <c r="AZ87" s="20"/>
      <c r="BA87" s="20"/>
      <c r="BB87" s="21"/>
      <c r="BC87" s="11">
        <f t="shared" si="55"/>
        <v>0</v>
      </c>
      <c r="BE87" s="19" t="s">
        <v>154</v>
      </c>
      <c r="BF87" s="20" t="s">
        <v>38</v>
      </c>
      <c r="BG87" s="20">
        <v>1.5</v>
      </c>
      <c r="BH87" s="21">
        <v>1.4999999999999999E-2</v>
      </c>
      <c r="BI87" s="11">
        <f t="shared" si="60"/>
        <v>2.2499999999999999E-2</v>
      </c>
      <c r="BK87" s="19" t="s">
        <v>154</v>
      </c>
      <c r="BL87" s="20" t="s">
        <v>38</v>
      </c>
      <c r="BM87" s="20">
        <v>1.5</v>
      </c>
      <c r="BN87" s="21">
        <v>1.4999999999999999E-2</v>
      </c>
      <c r="BO87" s="11">
        <f t="shared" si="61"/>
        <v>2.2499999999999999E-2</v>
      </c>
    </row>
    <row r="88" spans="1:85" ht="15" thickBot="1" x14ac:dyDescent="0.35">
      <c r="A88" s="19" t="s">
        <v>133</v>
      </c>
      <c r="B88" s="20" t="s">
        <v>11</v>
      </c>
      <c r="C88" s="20">
        <v>11</v>
      </c>
      <c r="D88" s="21">
        <v>0.05</v>
      </c>
      <c r="E88" s="11">
        <f t="shared" si="62"/>
        <v>0.55000000000000004</v>
      </c>
      <c r="F88" s="11">
        <f>+E91*D91</f>
        <v>0.5</v>
      </c>
      <c r="H88" s="19"/>
      <c r="I88" s="20"/>
      <c r="J88" s="20"/>
      <c r="K88" s="21"/>
      <c r="L88" s="11"/>
      <c r="N88" s="19"/>
      <c r="O88" s="20"/>
      <c r="P88" s="20"/>
      <c r="Q88" s="21"/>
      <c r="R88" s="11">
        <f t="shared" si="51"/>
        <v>0</v>
      </c>
      <c r="T88" s="19"/>
      <c r="U88" s="20"/>
      <c r="V88" s="20"/>
      <c r="W88" s="21"/>
      <c r="X88" s="11">
        <f t="shared" si="52"/>
        <v>0</v>
      </c>
      <c r="Z88" s="19" t="s">
        <v>8</v>
      </c>
      <c r="AA88" s="20" t="s">
        <v>11</v>
      </c>
      <c r="AB88" s="20">
        <v>8.6999999999999993</v>
      </c>
      <c r="AC88" s="21">
        <v>0.03</v>
      </c>
      <c r="AD88" s="11">
        <f t="shared" si="59"/>
        <v>0.26099999999999995</v>
      </c>
      <c r="AM88" s="19"/>
      <c r="AN88" s="20"/>
      <c r="AO88" s="20"/>
      <c r="AP88" s="21"/>
      <c r="AQ88" s="11">
        <f t="shared" si="53"/>
        <v>0</v>
      </c>
      <c r="AS88" s="19" t="s">
        <v>181</v>
      </c>
      <c r="AT88" s="20" t="s">
        <v>38</v>
      </c>
      <c r="AU88" s="20">
        <v>9.1999999999999993</v>
      </c>
      <c r="AV88" s="21">
        <v>0.03</v>
      </c>
      <c r="AW88" s="11">
        <f t="shared" si="54"/>
        <v>0.27599999999999997</v>
      </c>
      <c r="AY88" s="19"/>
      <c r="AZ88" s="20"/>
      <c r="BA88" s="20"/>
      <c r="BB88" s="21"/>
      <c r="BC88" s="11">
        <f t="shared" si="55"/>
        <v>0</v>
      </c>
      <c r="BE88" s="19" t="s">
        <v>166</v>
      </c>
      <c r="BF88" s="20" t="s">
        <v>11</v>
      </c>
      <c r="BG88" s="20">
        <v>0.02</v>
      </c>
      <c r="BH88" s="21">
        <v>2E-3</v>
      </c>
      <c r="BI88" s="11">
        <f t="shared" si="60"/>
        <v>4.0000000000000003E-5</v>
      </c>
      <c r="BK88" s="19" t="s">
        <v>166</v>
      </c>
      <c r="BL88" s="20" t="s">
        <v>11</v>
      </c>
      <c r="BM88" s="20">
        <v>0.02</v>
      </c>
      <c r="BN88" s="21">
        <v>2E-3</v>
      </c>
      <c r="BO88" s="11">
        <f t="shared" si="61"/>
        <v>4.0000000000000003E-5</v>
      </c>
    </row>
    <row r="89" spans="1:85" ht="15" thickBot="1" x14ac:dyDescent="0.35">
      <c r="A89" s="19" t="s">
        <v>181</v>
      </c>
      <c r="B89" s="20" t="s">
        <v>38</v>
      </c>
      <c r="C89" s="20">
        <v>9.1999999999999993</v>
      </c>
      <c r="D89" s="21">
        <v>0.03</v>
      </c>
      <c r="E89" s="11">
        <f t="shared" si="62"/>
        <v>0.27599999999999997</v>
      </c>
      <c r="F89" s="25">
        <f>+E92*D92</f>
        <v>6.1950000000000005E-2</v>
      </c>
      <c r="H89" s="19"/>
      <c r="I89" s="20"/>
      <c r="J89" s="20"/>
      <c r="K89" s="21"/>
      <c r="L89" s="11"/>
      <c r="N89" s="19"/>
      <c r="O89" s="20"/>
      <c r="P89" s="20"/>
      <c r="Q89" s="21"/>
      <c r="R89" s="11">
        <f t="shared" si="51"/>
        <v>0</v>
      </c>
      <c r="T89" s="19"/>
      <c r="U89" s="20"/>
      <c r="V89" s="20"/>
      <c r="W89" s="21"/>
      <c r="X89" s="11">
        <f t="shared" si="52"/>
        <v>0</v>
      </c>
      <c r="Z89" s="19" t="s">
        <v>175</v>
      </c>
      <c r="AA89" s="20"/>
      <c r="AB89" s="20">
        <v>18</v>
      </c>
      <c r="AC89" s="21">
        <v>0.05</v>
      </c>
      <c r="AD89" s="11">
        <f t="shared" si="59"/>
        <v>0.9</v>
      </c>
      <c r="AM89" s="19"/>
      <c r="AN89" s="20"/>
      <c r="AO89" s="20"/>
      <c r="AP89" s="21"/>
      <c r="AQ89" s="11">
        <f t="shared" si="53"/>
        <v>0</v>
      </c>
      <c r="AS89" s="22"/>
      <c r="AT89" s="1"/>
      <c r="AU89" s="72" t="s">
        <v>26</v>
      </c>
      <c r="AV89" s="73"/>
      <c r="AW89" s="26">
        <f>SUM(AW78:AW88)</f>
        <v>3.7940399999999994</v>
      </c>
      <c r="AY89" s="19"/>
      <c r="AZ89" s="20"/>
      <c r="BA89" s="20"/>
      <c r="BB89" s="21"/>
      <c r="BC89" s="11">
        <f t="shared" si="55"/>
        <v>0</v>
      </c>
      <c r="BE89" s="19" t="s">
        <v>182</v>
      </c>
      <c r="BF89" s="20" t="s">
        <v>11</v>
      </c>
      <c r="BG89" s="20">
        <v>11</v>
      </c>
      <c r="BH89" s="21">
        <v>0</v>
      </c>
      <c r="BI89" s="11">
        <f t="shared" si="60"/>
        <v>0</v>
      </c>
      <c r="BK89" s="19" t="s">
        <v>182</v>
      </c>
      <c r="BL89" s="20" t="s">
        <v>11</v>
      </c>
      <c r="BM89" s="20">
        <v>11</v>
      </c>
      <c r="BN89" s="21">
        <v>0</v>
      </c>
      <c r="BO89" s="11">
        <f t="shared" si="61"/>
        <v>0</v>
      </c>
    </row>
    <row r="90" spans="1:85" ht="15" thickBot="1" x14ac:dyDescent="0.35">
      <c r="B90" s="19" t="s">
        <v>20</v>
      </c>
      <c r="C90" s="20"/>
      <c r="D90" s="20">
        <v>0.15</v>
      </c>
      <c r="E90" s="21">
        <v>1</v>
      </c>
      <c r="F90" s="26">
        <f>SUM(F77:F89)</f>
        <v>2.2773999999999996</v>
      </c>
      <c r="H90" s="19"/>
      <c r="I90" s="20"/>
      <c r="J90" s="20"/>
      <c r="K90" s="21"/>
      <c r="L90" s="11"/>
      <c r="N90" s="19"/>
      <c r="O90" s="20"/>
      <c r="P90" s="20"/>
      <c r="Q90" s="21"/>
      <c r="R90" s="11">
        <f t="shared" si="51"/>
        <v>0</v>
      </c>
      <c r="T90" s="19"/>
      <c r="U90" s="20"/>
      <c r="V90" s="20"/>
      <c r="W90" s="21"/>
      <c r="X90" s="11">
        <f t="shared" si="52"/>
        <v>0</v>
      </c>
      <c r="Z90" s="15" t="s">
        <v>134</v>
      </c>
      <c r="AA90" s="16" t="s">
        <v>128</v>
      </c>
      <c r="AB90" s="17">
        <v>5.34</v>
      </c>
      <c r="AC90" s="18">
        <v>0.15</v>
      </c>
      <c r="AD90" s="11">
        <f t="shared" si="59"/>
        <v>0.80099999999999993</v>
      </c>
      <c r="AM90" s="19"/>
      <c r="AN90" s="20"/>
      <c r="AO90" s="20"/>
      <c r="AP90" s="21"/>
      <c r="AQ90" s="11">
        <f t="shared" si="53"/>
        <v>0</v>
      </c>
      <c r="AS90" s="1"/>
      <c r="AT90" s="1"/>
      <c r="AU90" s="72" t="s">
        <v>27</v>
      </c>
      <c r="AV90" s="73"/>
      <c r="AW90" s="26">
        <f>+AW89*1.145</f>
        <v>4.3441757999999995</v>
      </c>
      <c r="AY90" s="19"/>
      <c r="AZ90" s="20"/>
      <c r="BA90" s="20"/>
      <c r="BB90" s="21"/>
      <c r="BC90" s="11">
        <f t="shared" si="55"/>
        <v>0</v>
      </c>
      <c r="BE90" s="19" t="s">
        <v>8</v>
      </c>
      <c r="BF90" s="20" t="s">
        <v>11</v>
      </c>
      <c r="BG90" s="20">
        <v>8.6999999999999993</v>
      </c>
      <c r="BH90" s="21">
        <v>0.06</v>
      </c>
      <c r="BI90" s="11">
        <f t="shared" si="60"/>
        <v>0.52199999999999991</v>
      </c>
      <c r="BK90" s="19" t="s">
        <v>8</v>
      </c>
      <c r="BL90" s="20" t="s">
        <v>11</v>
      </c>
      <c r="BM90" s="20">
        <v>8.6999999999999993</v>
      </c>
      <c r="BN90" s="21">
        <v>0.06</v>
      </c>
      <c r="BO90" s="11">
        <f t="shared" si="61"/>
        <v>0.52199999999999991</v>
      </c>
    </row>
    <row r="91" spans="1:85" ht="15" thickBot="1" x14ac:dyDescent="0.35">
      <c r="B91" s="19" t="s">
        <v>263</v>
      </c>
      <c r="C91" s="20"/>
      <c r="D91" s="20">
        <v>0.5</v>
      </c>
      <c r="E91" s="21">
        <v>1</v>
      </c>
      <c r="F91" s="26">
        <f>+F90*1.145</f>
        <v>2.6076229999999998</v>
      </c>
      <c r="H91" s="19"/>
      <c r="I91" s="20"/>
      <c r="J91" s="20"/>
      <c r="K91" s="21"/>
      <c r="L91" s="11"/>
      <c r="N91" s="19"/>
      <c r="O91" s="20"/>
      <c r="P91" s="20"/>
      <c r="Q91" s="21"/>
      <c r="R91" s="11">
        <f t="shared" si="51"/>
        <v>0</v>
      </c>
      <c r="T91" s="19"/>
      <c r="U91" s="20"/>
      <c r="V91" s="20"/>
      <c r="W91" s="21"/>
      <c r="X91" s="11">
        <f t="shared" si="52"/>
        <v>0</v>
      </c>
      <c r="Z91" s="15"/>
      <c r="AA91" s="16"/>
      <c r="AB91" s="17"/>
      <c r="AC91" s="18"/>
      <c r="AD91" s="11"/>
      <c r="AM91" s="19"/>
      <c r="AN91" s="20"/>
      <c r="AO91" s="20"/>
      <c r="AP91" s="21"/>
      <c r="AQ91" s="11">
        <f t="shared" si="53"/>
        <v>0</v>
      </c>
      <c r="AS91" s="1"/>
      <c r="AT91" s="1"/>
      <c r="AU91" s="72" t="s">
        <v>28</v>
      </c>
      <c r="AV91" s="73"/>
      <c r="AW91" s="26">
        <v>18</v>
      </c>
      <c r="AY91" s="19"/>
      <c r="AZ91" s="20"/>
      <c r="BA91" s="20"/>
      <c r="BB91" s="21"/>
      <c r="BC91" s="11">
        <f t="shared" si="55"/>
        <v>0</v>
      </c>
      <c r="BE91" s="19" t="s">
        <v>170</v>
      </c>
      <c r="BF91" s="20" t="s">
        <v>11</v>
      </c>
      <c r="BG91" s="20">
        <v>1.8</v>
      </c>
      <c r="BH91" s="21">
        <v>0.25</v>
      </c>
      <c r="BI91" s="11">
        <f t="shared" si="60"/>
        <v>0.45</v>
      </c>
      <c r="BK91" s="19" t="s">
        <v>170</v>
      </c>
      <c r="BL91" s="20" t="s">
        <v>11</v>
      </c>
      <c r="BM91" s="20">
        <v>1.8</v>
      </c>
      <c r="BN91" s="21">
        <v>0.25</v>
      </c>
      <c r="BO91" s="11">
        <f t="shared" si="61"/>
        <v>0.45</v>
      </c>
    </row>
    <row r="92" spans="1:85" ht="15" thickBot="1" x14ac:dyDescent="0.35">
      <c r="B92" s="22" t="s">
        <v>359</v>
      </c>
      <c r="C92" s="23"/>
      <c r="D92" s="23">
        <v>12.39</v>
      </c>
      <c r="E92" s="24">
        <v>5.0000000000000001E-3</v>
      </c>
      <c r="F92" s="26">
        <v>12</v>
      </c>
      <c r="H92" s="22"/>
      <c r="I92" s="23"/>
      <c r="J92" s="23"/>
      <c r="K92" s="24"/>
      <c r="L92" s="25"/>
      <c r="N92" s="22"/>
      <c r="O92" s="23"/>
      <c r="P92" s="23"/>
      <c r="Q92" s="24"/>
      <c r="R92" s="25"/>
      <c r="T92" s="22"/>
      <c r="U92" s="23"/>
      <c r="V92" s="23"/>
      <c r="W92" s="24"/>
      <c r="X92" s="25"/>
      <c r="Z92" s="15"/>
      <c r="AA92" s="16"/>
      <c r="AB92" s="17"/>
      <c r="AC92" s="18"/>
      <c r="AD92" s="11"/>
      <c r="AM92" s="19"/>
      <c r="AN92" s="20"/>
      <c r="AO92" s="20"/>
      <c r="AP92" s="21"/>
      <c r="AQ92" s="11">
        <f t="shared" si="53"/>
        <v>0</v>
      </c>
      <c r="AS92" s="1"/>
      <c r="AT92" s="1"/>
      <c r="AU92" s="72" t="s">
        <v>29</v>
      </c>
      <c r="AV92" s="74"/>
      <c r="AW92" s="27">
        <f>AW90/AW91*100</f>
        <v>24.134309999999999</v>
      </c>
      <c r="AY92" s="19"/>
      <c r="AZ92" s="20"/>
      <c r="BA92" s="20"/>
      <c r="BB92" s="21"/>
      <c r="BC92" s="11">
        <f t="shared" si="55"/>
        <v>0</v>
      </c>
      <c r="BE92" s="19"/>
      <c r="BF92" s="20"/>
      <c r="BG92" s="20"/>
      <c r="BH92" s="21"/>
      <c r="BI92" s="11">
        <f t="shared" si="60"/>
        <v>0</v>
      </c>
      <c r="BK92" s="19"/>
      <c r="BL92" s="20"/>
      <c r="BM92" s="20"/>
      <c r="BN92" s="21"/>
      <c r="BO92" s="11">
        <f t="shared" si="61"/>
        <v>0</v>
      </c>
    </row>
    <row r="93" spans="1:85" ht="15" thickBot="1" x14ac:dyDescent="0.35">
      <c r="B93" s="1"/>
      <c r="C93" s="1"/>
      <c r="D93" s="72" t="s">
        <v>26</v>
      </c>
      <c r="E93" s="73"/>
      <c r="F93" s="27">
        <f>F91/F92*100</f>
        <v>21.730191666666666</v>
      </c>
      <c r="H93" s="1"/>
      <c r="I93" s="1"/>
      <c r="J93" s="72" t="s">
        <v>26</v>
      </c>
      <c r="K93" s="73"/>
      <c r="L93" s="26">
        <f>SUM(L77:L92)</f>
        <v>4.1579999999999995</v>
      </c>
      <c r="N93" s="1"/>
      <c r="O93" s="1"/>
      <c r="P93" s="72" t="s">
        <v>26</v>
      </c>
      <c r="Q93" s="73"/>
      <c r="R93" s="26">
        <f>SUM(R77:R92)</f>
        <v>1.1355</v>
      </c>
      <c r="T93" s="1"/>
      <c r="U93" s="1"/>
      <c r="V93" s="72" t="s">
        <v>26</v>
      </c>
      <c r="W93" s="73"/>
      <c r="X93" s="26">
        <f>SUM(X77:X92)</f>
        <v>1.8744999999999998</v>
      </c>
      <c r="Z93" s="15"/>
      <c r="AA93" s="16"/>
      <c r="AB93" s="17"/>
      <c r="AC93" s="18"/>
      <c r="AD93" s="11"/>
      <c r="AM93" s="19"/>
      <c r="AN93" s="20"/>
      <c r="AO93" s="20"/>
      <c r="AP93" s="21"/>
      <c r="AQ93" s="11">
        <f t="shared" si="53"/>
        <v>0</v>
      </c>
      <c r="AS93" s="1"/>
      <c r="AT93" s="1"/>
      <c r="AU93" s="1"/>
      <c r="AV93" s="28" t="s">
        <v>30</v>
      </c>
      <c r="AW93" s="16">
        <f>100-AW92</f>
        <v>75.865690000000001</v>
      </c>
      <c r="AY93" s="22"/>
      <c r="AZ93" s="23"/>
      <c r="BA93" s="23"/>
      <c r="BB93" s="24"/>
      <c r="BC93" s="25"/>
      <c r="BE93" s="22"/>
      <c r="BF93" s="23"/>
      <c r="BG93" s="23"/>
      <c r="BH93" s="24"/>
      <c r="BI93" s="25"/>
      <c r="BK93" s="22"/>
      <c r="BL93" s="23"/>
      <c r="BM93" s="23"/>
      <c r="BN93" s="24"/>
      <c r="BO93" s="25"/>
    </row>
    <row r="94" spans="1:85" ht="15" thickBot="1" x14ac:dyDescent="0.35">
      <c r="B94" s="1"/>
      <c r="C94" s="1"/>
      <c r="D94" s="72" t="s">
        <v>27</v>
      </c>
      <c r="E94" s="73"/>
      <c r="F94" s="16">
        <f>100-F93</f>
        <v>78.26980833333333</v>
      </c>
      <c r="H94" s="1"/>
      <c r="I94" s="1"/>
      <c r="J94" s="72" t="s">
        <v>27</v>
      </c>
      <c r="K94" s="73"/>
      <c r="L94" s="26">
        <f>+L93*1.145</f>
        <v>4.7609099999999991</v>
      </c>
      <c r="N94" s="1"/>
      <c r="O94" s="1"/>
      <c r="P94" s="72" t="s">
        <v>27</v>
      </c>
      <c r="Q94" s="73"/>
      <c r="R94" s="26">
        <f>+R93*1.145</f>
        <v>1.3001475</v>
      </c>
      <c r="T94" s="1"/>
      <c r="U94" s="1"/>
      <c r="V94" s="72" t="s">
        <v>27</v>
      </c>
      <c r="W94" s="73"/>
      <c r="X94" s="26">
        <f>+X93*1.145</f>
        <v>2.1463025</v>
      </c>
      <c r="Z94" s="15"/>
      <c r="AA94" s="16"/>
      <c r="AB94" s="17"/>
      <c r="AC94" s="18"/>
      <c r="AD94" s="11"/>
      <c r="AM94" s="22"/>
      <c r="AN94" s="23"/>
      <c r="AO94" s="23"/>
      <c r="AP94" s="24"/>
      <c r="AQ94" s="25"/>
      <c r="AS94" s="1"/>
      <c r="AY94" s="1"/>
      <c r="AZ94" s="1"/>
      <c r="BA94" s="72" t="s">
        <v>26</v>
      </c>
      <c r="BB94" s="73"/>
      <c r="BC94" s="26">
        <f>SUM(BC78:BC93)</f>
        <v>5.517500000000001</v>
      </c>
      <c r="BE94" s="1"/>
      <c r="BF94" s="1"/>
      <c r="BG94" s="72" t="s">
        <v>26</v>
      </c>
      <c r="BH94" s="73"/>
      <c r="BI94" s="26">
        <f>SUM(BI78:BI93)</f>
        <v>2.06454</v>
      </c>
      <c r="BK94" s="1"/>
      <c r="BL94" s="1"/>
      <c r="BM94" s="72" t="s">
        <v>26</v>
      </c>
      <c r="BN94" s="73"/>
      <c r="BO94" s="26">
        <f>SUM(BO78:BO93)</f>
        <v>2.06454</v>
      </c>
    </row>
    <row r="95" spans="1:85" ht="15" thickBot="1" x14ac:dyDescent="0.35">
      <c r="B95" s="1"/>
      <c r="C95" s="1"/>
      <c r="D95" s="72" t="s">
        <v>28</v>
      </c>
      <c r="E95" s="73"/>
      <c r="H95" s="1"/>
      <c r="I95" s="1"/>
      <c r="J95" s="72" t="s">
        <v>28</v>
      </c>
      <c r="K95" s="73"/>
      <c r="L95" s="26">
        <v>20</v>
      </c>
      <c r="N95" s="1"/>
      <c r="O95" s="1"/>
      <c r="P95" s="72" t="s">
        <v>28</v>
      </c>
      <c r="Q95" s="73"/>
      <c r="R95" s="26">
        <v>6</v>
      </c>
      <c r="T95" s="1"/>
      <c r="U95" s="1"/>
      <c r="V95" s="72" t="s">
        <v>28</v>
      </c>
      <c r="W95" s="73"/>
      <c r="X95" s="26">
        <v>8</v>
      </c>
      <c r="Z95" s="1"/>
      <c r="AA95" s="1"/>
      <c r="AB95" s="72" t="s">
        <v>26</v>
      </c>
      <c r="AC95" s="73"/>
      <c r="AD95" s="26">
        <f>SUM(AD78:AD94)</f>
        <v>3.3647</v>
      </c>
      <c r="AM95" s="1"/>
      <c r="AN95" s="1"/>
      <c r="AO95" s="72" t="s">
        <v>26</v>
      </c>
      <c r="AP95" s="73"/>
      <c r="AQ95" s="26">
        <f>SUM(AQ78:AQ94)</f>
        <v>7.6549499999999995</v>
      </c>
      <c r="AY95" s="1"/>
      <c r="AZ95" s="1"/>
      <c r="BA95" s="72" t="s">
        <v>27</v>
      </c>
      <c r="BB95" s="73"/>
      <c r="BC95" s="26">
        <f>+BC94*1.145</f>
        <v>6.3175375000000011</v>
      </c>
      <c r="BE95" s="1"/>
      <c r="BF95" s="1"/>
      <c r="BG95" s="72" t="s">
        <v>27</v>
      </c>
      <c r="BH95" s="73"/>
      <c r="BI95" s="26">
        <f>+BI94*1.145</f>
        <v>2.3638983000000002</v>
      </c>
      <c r="BK95" s="1"/>
      <c r="BL95" s="1"/>
      <c r="BM95" s="72" t="s">
        <v>27</v>
      </c>
      <c r="BN95" s="73"/>
      <c r="BO95" s="26">
        <f>+BO94*1.145</f>
        <v>2.3638983000000002</v>
      </c>
    </row>
    <row r="96" spans="1:85" ht="15" thickBot="1" x14ac:dyDescent="0.35">
      <c r="B96" s="1"/>
      <c r="C96" s="1"/>
      <c r="D96" s="72" t="s">
        <v>29</v>
      </c>
      <c r="E96" s="74"/>
      <c r="H96" s="1"/>
      <c r="I96" s="1"/>
      <c r="J96" s="72" t="s">
        <v>29</v>
      </c>
      <c r="K96" s="74"/>
      <c r="L96" s="27">
        <f>L94/L95*100</f>
        <v>23.804549999999995</v>
      </c>
      <c r="N96" s="1"/>
      <c r="O96" s="1"/>
      <c r="P96" s="72" t="s">
        <v>29</v>
      </c>
      <c r="Q96" s="74"/>
      <c r="R96" s="27">
        <f>R94/R95*100</f>
        <v>21.669125000000001</v>
      </c>
      <c r="T96" s="1"/>
      <c r="U96" s="1"/>
      <c r="V96" s="72" t="s">
        <v>29</v>
      </c>
      <c r="W96" s="74"/>
      <c r="X96" s="27">
        <f>X94/X95*100</f>
        <v>26.828781249999999</v>
      </c>
      <c r="Z96" s="1"/>
      <c r="AA96" s="1"/>
      <c r="AB96" s="72" t="s">
        <v>27</v>
      </c>
      <c r="AC96" s="73"/>
      <c r="AD96" s="26">
        <f>+AD95*1.145</f>
        <v>3.8525814999999999</v>
      </c>
      <c r="AM96" s="1"/>
      <c r="AN96" s="1"/>
      <c r="AO96" s="72" t="s">
        <v>27</v>
      </c>
      <c r="AP96" s="73"/>
      <c r="AQ96" s="26">
        <f>+AQ95*1.145</f>
        <v>8.7649177500000004</v>
      </c>
      <c r="AY96" s="1"/>
      <c r="AZ96" s="1"/>
      <c r="BA96" s="72" t="s">
        <v>28</v>
      </c>
      <c r="BB96" s="73"/>
      <c r="BC96" s="26">
        <v>20</v>
      </c>
      <c r="BE96" s="1"/>
      <c r="BF96" s="1"/>
      <c r="BG96" s="72" t="s">
        <v>28</v>
      </c>
      <c r="BH96" s="73"/>
      <c r="BI96" s="26">
        <v>14</v>
      </c>
      <c r="BK96" s="1"/>
      <c r="BL96" s="1"/>
      <c r="BM96" s="72" t="s">
        <v>28</v>
      </c>
      <c r="BN96" s="73"/>
      <c r="BO96" s="26">
        <v>14</v>
      </c>
    </row>
    <row r="97" spans="2:67" ht="15" thickBot="1" x14ac:dyDescent="0.35">
      <c r="B97" s="1"/>
      <c r="C97" s="1"/>
      <c r="D97" s="1"/>
      <c r="E97" s="28" t="s">
        <v>30</v>
      </c>
      <c r="H97" s="1"/>
      <c r="I97" s="1"/>
      <c r="J97" s="1"/>
      <c r="K97" s="28" t="s">
        <v>30</v>
      </c>
      <c r="L97" s="16">
        <f>100-L96</f>
        <v>76.195450000000008</v>
      </c>
      <c r="N97" s="1"/>
      <c r="O97" s="1"/>
      <c r="P97" s="1"/>
      <c r="Q97" s="28" t="s">
        <v>30</v>
      </c>
      <c r="R97" s="16">
        <f>100-R96</f>
        <v>78.330874999999992</v>
      </c>
      <c r="T97" s="1"/>
      <c r="U97" s="1"/>
      <c r="V97" s="1"/>
      <c r="W97" s="28" t="s">
        <v>30</v>
      </c>
      <c r="X97" s="16">
        <f>100-X96</f>
        <v>73.171218750000008</v>
      </c>
      <c r="Z97" s="1"/>
      <c r="AA97" s="1"/>
      <c r="AB97" s="72" t="s">
        <v>28</v>
      </c>
      <c r="AC97" s="73"/>
      <c r="AD97" s="26">
        <v>14</v>
      </c>
      <c r="AM97" s="1"/>
      <c r="AN97" s="1"/>
      <c r="AO97" s="72" t="s">
        <v>28</v>
      </c>
      <c r="AP97" s="73"/>
      <c r="AQ97" s="26">
        <v>40</v>
      </c>
      <c r="AY97" s="1"/>
      <c r="AZ97" s="1"/>
      <c r="BA97" s="72" t="s">
        <v>29</v>
      </c>
      <c r="BB97" s="74"/>
      <c r="BC97" s="27">
        <f>BC95/BC96*100</f>
        <v>31.587687500000005</v>
      </c>
      <c r="BE97" s="1"/>
      <c r="BF97" s="1"/>
      <c r="BG97" s="72" t="s">
        <v>29</v>
      </c>
      <c r="BH97" s="74"/>
      <c r="BI97" s="27">
        <f>BI95/BI96*100</f>
        <v>16.884987857142857</v>
      </c>
      <c r="BK97" s="1"/>
      <c r="BL97" s="1"/>
      <c r="BM97" s="72" t="s">
        <v>29</v>
      </c>
      <c r="BN97" s="74"/>
      <c r="BO97" s="27">
        <f>BO95/BO96*100</f>
        <v>16.884987857142857</v>
      </c>
    </row>
    <row r="98" spans="2:67" ht="15" thickBot="1" x14ac:dyDescent="0.35">
      <c r="Z98" s="1"/>
      <c r="AA98" s="1"/>
      <c r="AB98" s="72" t="s">
        <v>29</v>
      </c>
      <c r="AC98" s="74"/>
      <c r="AD98" s="27">
        <f>AD96/AD97*100</f>
        <v>27.518439285714287</v>
      </c>
      <c r="AM98" s="1"/>
      <c r="AN98" s="1"/>
      <c r="AO98" s="72" t="s">
        <v>29</v>
      </c>
      <c r="AP98" s="74"/>
      <c r="AQ98" s="27">
        <f>AQ96/AQ97*100</f>
        <v>21.912294375000002</v>
      </c>
      <c r="AS98" s="69" t="s">
        <v>116</v>
      </c>
      <c r="AT98" s="70"/>
      <c r="AU98" s="70"/>
      <c r="AV98" s="70"/>
      <c r="AW98" s="71"/>
      <c r="AY98" s="1"/>
      <c r="AZ98" s="1"/>
      <c r="BA98" s="1"/>
      <c r="BB98" s="28" t="s">
        <v>30</v>
      </c>
      <c r="BC98" s="16">
        <f>100-BC97</f>
        <v>68.412312499999999</v>
      </c>
      <c r="BE98" s="1"/>
      <c r="BF98" s="1"/>
      <c r="BG98" s="1"/>
      <c r="BH98" s="28" t="s">
        <v>30</v>
      </c>
      <c r="BI98" s="16">
        <f>100-BI97</f>
        <v>83.11501214285714</v>
      </c>
      <c r="BK98" s="1"/>
      <c r="BL98" s="1"/>
      <c r="BM98" s="1"/>
      <c r="BN98" s="28" t="s">
        <v>30</v>
      </c>
      <c r="BO98" s="16">
        <f>100-BO97</f>
        <v>83.11501214285714</v>
      </c>
    </row>
    <row r="99" spans="2:67" ht="15" thickBot="1" x14ac:dyDescent="0.35">
      <c r="Z99" s="1"/>
      <c r="AA99" s="1"/>
      <c r="AB99" s="1"/>
      <c r="AC99" s="28" t="s">
        <v>30</v>
      </c>
      <c r="AD99" s="16">
        <f>100-AD98</f>
        <v>72.481560714285706</v>
      </c>
      <c r="AM99" s="1"/>
      <c r="AN99" s="1"/>
      <c r="AO99" s="1"/>
      <c r="AP99" s="28" t="s">
        <v>30</v>
      </c>
      <c r="AQ99" s="16">
        <f>100-AQ98</f>
        <v>78.087705624999998</v>
      </c>
      <c r="AS99" s="2" t="s">
        <v>3</v>
      </c>
      <c r="AT99" s="3" t="s">
        <v>4</v>
      </c>
      <c r="AU99" s="3" t="s">
        <v>5</v>
      </c>
      <c r="AV99" s="4" t="s">
        <v>6</v>
      </c>
      <c r="AW99" s="5" t="s">
        <v>7</v>
      </c>
    </row>
    <row r="100" spans="2:67" x14ac:dyDescent="0.3">
      <c r="AS100" s="7" t="s">
        <v>125</v>
      </c>
      <c r="AT100" s="8" t="s">
        <v>34</v>
      </c>
      <c r="AU100" s="9">
        <v>12.5</v>
      </c>
      <c r="AV100" s="10">
        <v>0.2</v>
      </c>
      <c r="AW100" s="11">
        <f t="shared" ref="AW100:AW114" si="63">+AV100*AU100</f>
        <v>2.5</v>
      </c>
    </row>
    <row r="101" spans="2:67" x14ac:dyDescent="0.3">
      <c r="AO101">
        <v>73</v>
      </c>
      <c r="AP101" t="s">
        <v>325</v>
      </c>
      <c r="AS101" s="7" t="s">
        <v>247</v>
      </c>
      <c r="AT101" s="8" t="s">
        <v>11</v>
      </c>
      <c r="AU101" s="9">
        <v>0.34</v>
      </c>
      <c r="AV101" s="10">
        <v>4</v>
      </c>
      <c r="AW101" s="11">
        <f t="shared" si="63"/>
        <v>1.36</v>
      </c>
    </row>
    <row r="102" spans="2:67" x14ac:dyDescent="0.3">
      <c r="AS102" s="15"/>
      <c r="AT102" s="16"/>
      <c r="AU102" s="17"/>
      <c r="AV102" s="18"/>
      <c r="AW102" s="11"/>
    </row>
    <row r="103" spans="2:67" x14ac:dyDescent="0.3">
      <c r="AS103" s="15"/>
      <c r="AT103" s="16"/>
      <c r="AU103" s="17"/>
      <c r="AV103" s="18"/>
      <c r="AW103" s="11"/>
    </row>
    <row r="104" spans="2:67" x14ac:dyDescent="0.3">
      <c r="AS104" s="15"/>
      <c r="AT104" s="16"/>
      <c r="AU104" s="17"/>
      <c r="AV104" s="18"/>
      <c r="AW104" s="11"/>
    </row>
    <row r="105" spans="2:67" x14ac:dyDescent="0.3">
      <c r="AS105" s="15" t="s">
        <v>156</v>
      </c>
      <c r="AT105" s="16" t="s">
        <v>38</v>
      </c>
      <c r="AU105" s="17">
        <v>1.5</v>
      </c>
      <c r="AV105" s="18">
        <v>0.02</v>
      </c>
      <c r="AW105" s="11">
        <f t="shared" si="63"/>
        <v>0.03</v>
      </c>
    </row>
    <row r="106" spans="2:67" x14ac:dyDescent="0.3">
      <c r="AS106" s="15" t="s">
        <v>166</v>
      </c>
      <c r="AT106" s="16"/>
      <c r="AU106" s="17">
        <v>0.02</v>
      </c>
      <c r="AV106" s="18">
        <v>2E-3</v>
      </c>
      <c r="AW106" s="11">
        <f t="shared" si="63"/>
        <v>4.0000000000000003E-5</v>
      </c>
    </row>
    <row r="107" spans="2:67" x14ac:dyDescent="0.3">
      <c r="AS107" s="15" t="s">
        <v>140</v>
      </c>
      <c r="AT107" s="16" t="s">
        <v>11</v>
      </c>
      <c r="AU107" s="17">
        <v>6</v>
      </c>
      <c r="AV107" s="18">
        <v>2E-3</v>
      </c>
      <c r="AW107" s="11">
        <f t="shared" si="63"/>
        <v>1.2E-2</v>
      </c>
    </row>
    <row r="108" spans="2:67" x14ac:dyDescent="0.3">
      <c r="AS108" s="19"/>
      <c r="AT108" s="20"/>
      <c r="AU108" s="20"/>
      <c r="AV108" s="21"/>
      <c r="AW108" s="11"/>
    </row>
    <row r="109" spans="2:67" x14ac:dyDescent="0.3">
      <c r="AS109" s="19"/>
      <c r="AT109" s="20"/>
      <c r="AU109" s="20"/>
      <c r="AV109" s="21"/>
      <c r="AW109" s="11"/>
    </row>
    <row r="110" spans="2:67" x14ac:dyDescent="0.3">
      <c r="AS110" s="19"/>
      <c r="AT110" s="20"/>
      <c r="AU110" s="20"/>
      <c r="AV110" s="21"/>
      <c r="AW110" s="11"/>
    </row>
    <row r="111" spans="2:67" x14ac:dyDescent="0.3">
      <c r="AS111" s="19" t="s">
        <v>10</v>
      </c>
      <c r="AT111" s="20" t="s">
        <v>11</v>
      </c>
      <c r="AU111" s="20">
        <v>8.6999999999999993</v>
      </c>
      <c r="AV111" s="21">
        <v>0.03</v>
      </c>
      <c r="AW111" s="11">
        <f t="shared" si="63"/>
        <v>0.26099999999999995</v>
      </c>
    </row>
    <row r="112" spans="2:67" x14ac:dyDescent="0.3">
      <c r="AS112" s="19"/>
      <c r="AT112" s="20"/>
      <c r="AU112" s="20"/>
      <c r="AV112" s="21"/>
      <c r="AW112" s="11"/>
    </row>
    <row r="113" spans="45:49" x14ac:dyDescent="0.3">
      <c r="AS113" s="19" t="s">
        <v>170</v>
      </c>
      <c r="AT113" s="20" t="s">
        <v>11</v>
      </c>
      <c r="AU113" s="20">
        <v>1.8</v>
      </c>
      <c r="AV113" s="21">
        <v>0.25</v>
      </c>
      <c r="AW113" s="11">
        <f t="shared" si="63"/>
        <v>0.45</v>
      </c>
    </row>
    <row r="114" spans="45:49" x14ac:dyDescent="0.3">
      <c r="AS114" s="19"/>
      <c r="AT114" s="20"/>
      <c r="AU114" s="20"/>
      <c r="AV114" s="21"/>
      <c r="AW114" s="11">
        <f t="shared" si="63"/>
        <v>0</v>
      </c>
    </row>
    <row r="115" spans="45:49" ht="15" thickBot="1" x14ac:dyDescent="0.35">
      <c r="AS115" s="22"/>
      <c r="AT115" s="23"/>
      <c r="AU115" s="23"/>
      <c r="AV115" s="24"/>
      <c r="AW115" s="25"/>
    </row>
    <row r="116" spans="45:49" ht="15" thickBot="1" x14ac:dyDescent="0.35">
      <c r="AS116" s="1"/>
      <c r="AT116" s="1"/>
      <c r="AU116" s="72" t="s">
        <v>26</v>
      </c>
      <c r="AV116" s="73"/>
      <c r="AW116" s="26">
        <f>SUM(AW100:AW115)</f>
        <v>4.6130399999999998</v>
      </c>
    </row>
    <row r="117" spans="45:49" ht="15" thickBot="1" x14ac:dyDescent="0.35">
      <c r="AS117" s="1"/>
      <c r="AT117" s="1"/>
      <c r="AU117" s="72" t="s">
        <v>27</v>
      </c>
      <c r="AV117" s="73"/>
      <c r="AW117" s="26">
        <f>+AW116*1.145</f>
        <v>5.2819307999999996</v>
      </c>
    </row>
    <row r="118" spans="45:49" ht="15" thickBot="1" x14ac:dyDescent="0.35">
      <c r="AS118" s="1"/>
      <c r="AT118" s="1"/>
      <c r="AU118" s="72" t="s">
        <v>28</v>
      </c>
      <c r="AV118" s="73"/>
      <c r="AW118" s="26">
        <v>23</v>
      </c>
    </row>
    <row r="119" spans="45:49" ht="15" thickBot="1" x14ac:dyDescent="0.35">
      <c r="AS119" s="1"/>
      <c r="AT119" s="1"/>
      <c r="AU119" s="72" t="s">
        <v>29</v>
      </c>
      <c r="AV119" s="74"/>
      <c r="AW119" s="27">
        <f>AW117/AW118*100</f>
        <v>22.964916521739127</v>
      </c>
    </row>
    <row r="120" spans="45:49" x14ac:dyDescent="0.3">
      <c r="AU120" s="1"/>
      <c r="AV120" s="28" t="s">
        <v>30</v>
      </c>
      <c r="AW120" s="16">
        <f>100-AW119</f>
        <v>77.035083478260873</v>
      </c>
    </row>
  </sheetData>
  <mergeCells count="254">
    <mergeCell ref="AS98:AW98"/>
    <mergeCell ref="AU116:AV116"/>
    <mergeCell ref="AU117:AV117"/>
    <mergeCell ref="AU118:AV118"/>
    <mergeCell ref="AU119:AV119"/>
    <mergeCell ref="CC52:CG52"/>
    <mergeCell ref="CE80:CF80"/>
    <mergeCell ref="CE81:CF81"/>
    <mergeCell ref="CE82:CF82"/>
    <mergeCell ref="CE83:CF83"/>
    <mergeCell ref="BM73:BN73"/>
    <mergeCell ref="BA97:BB97"/>
    <mergeCell ref="AS76:AW76"/>
    <mergeCell ref="AU89:AV89"/>
    <mergeCell ref="BD52:BH52"/>
    <mergeCell ref="BF70:BG70"/>
    <mergeCell ref="BG97:BH97"/>
    <mergeCell ref="BK76:BO76"/>
    <mergeCell ref="BM94:BN94"/>
    <mergeCell ref="BM95:BN95"/>
    <mergeCell ref="BM96:BN96"/>
    <mergeCell ref="BM97:BN97"/>
    <mergeCell ref="AY76:BC76"/>
    <mergeCell ref="BA94:BB94"/>
    <mergeCell ref="CI52:CM52"/>
    <mergeCell ref="CK70:CL70"/>
    <mergeCell ref="CK71:CL71"/>
    <mergeCell ref="CK72:CL72"/>
    <mergeCell ref="CK73:CL73"/>
    <mergeCell ref="BQ52:BU52"/>
    <mergeCell ref="BS70:BT70"/>
    <mergeCell ref="BS71:BT71"/>
    <mergeCell ref="BS72:BT72"/>
    <mergeCell ref="BS73:BT73"/>
    <mergeCell ref="BW52:CA52"/>
    <mergeCell ref="BY70:BZ70"/>
    <mergeCell ref="BY71:BZ71"/>
    <mergeCell ref="BY72:BZ72"/>
    <mergeCell ref="BY73:BZ73"/>
    <mergeCell ref="CB27:CF27"/>
    <mergeCell ref="CD45:CE45"/>
    <mergeCell ref="CD46:CE46"/>
    <mergeCell ref="CD47:CE47"/>
    <mergeCell ref="CD48:CE48"/>
    <mergeCell ref="CB2:CF2"/>
    <mergeCell ref="CD20:CE20"/>
    <mergeCell ref="CD21:CE21"/>
    <mergeCell ref="CD22:CE22"/>
    <mergeCell ref="CD23:CE23"/>
    <mergeCell ref="BV27:BZ27"/>
    <mergeCell ref="BX45:BY45"/>
    <mergeCell ref="BX46:BY46"/>
    <mergeCell ref="BX47:BY47"/>
    <mergeCell ref="BX48:BY48"/>
    <mergeCell ref="BF73:BG73"/>
    <mergeCell ref="AF51:AJ51"/>
    <mergeCell ref="AH69:AI69"/>
    <mergeCell ref="AH70:AI70"/>
    <mergeCell ref="AH71:AI71"/>
    <mergeCell ref="AH72:AI72"/>
    <mergeCell ref="BF48:BG48"/>
    <mergeCell ref="BR48:BS48"/>
    <mergeCell ref="BL47:BM47"/>
    <mergeCell ref="BL48:BM48"/>
    <mergeCell ref="AT48:AU48"/>
    <mergeCell ref="AX27:BB27"/>
    <mergeCell ref="AZ45:BA45"/>
    <mergeCell ref="AZ46:BA46"/>
    <mergeCell ref="BF71:BG71"/>
    <mergeCell ref="AU72:AV72"/>
    <mergeCell ref="BF72:BG72"/>
    <mergeCell ref="BK52:BO52"/>
    <mergeCell ref="BM70:BN70"/>
    <mergeCell ref="AB98:AC98"/>
    <mergeCell ref="P68:Q68"/>
    <mergeCell ref="B51:F51"/>
    <mergeCell ref="D65:E65"/>
    <mergeCell ref="D66:E66"/>
    <mergeCell ref="D67:E67"/>
    <mergeCell ref="D68:E68"/>
    <mergeCell ref="B75:F75"/>
    <mergeCell ref="D93:E93"/>
    <mergeCell ref="D94:E94"/>
    <mergeCell ref="H51:L51"/>
    <mergeCell ref="J69:K69"/>
    <mergeCell ref="J70:K70"/>
    <mergeCell ref="J71:K71"/>
    <mergeCell ref="AB71:AC71"/>
    <mergeCell ref="T51:X51"/>
    <mergeCell ref="Z51:AD51"/>
    <mergeCell ref="D95:E95"/>
    <mergeCell ref="D96:E96"/>
    <mergeCell ref="Z76:AD76"/>
    <mergeCell ref="AB97:AC97"/>
    <mergeCell ref="H75:L75"/>
    <mergeCell ref="J94:K94"/>
    <mergeCell ref="J95:K95"/>
    <mergeCell ref="D21:E21"/>
    <mergeCell ref="J21:K21"/>
    <mergeCell ref="P21:Q21"/>
    <mergeCell ref="V21:W21"/>
    <mergeCell ref="AZ48:BA48"/>
    <mergeCell ref="AN23:AO23"/>
    <mergeCell ref="V22:W22"/>
    <mergeCell ref="J46:K46"/>
    <mergeCell ref="AF27:AJ27"/>
    <mergeCell ref="AH45:AI45"/>
    <mergeCell ref="AH46:AI46"/>
    <mergeCell ref="AN46:AO46"/>
    <mergeCell ref="AH22:AI22"/>
    <mergeCell ref="AN45:AO45"/>
    <mergeCell ref="D47:E47"/>
    <mergeCell ref="D46:E46"/>
    <mergeCell ref="J22:K22"/>
    <mergeCell ref="AH48:AI48"/>
    <mergeCell ref="J47:K47"/>
    <mergeCell ref="AR27:AV27"/>
    <mergeCell ref="AT45:AU45"/>
    <mergeCell ref="AN47:AO47"/>
    <mergeCell ref="AN48:AO48"/>
    <mergeCell ref="AZ47:BA47"/>
    <mergeCell ref="BM71:BN71"/>
    <mergeCell ref="BM72:BN72"/>
    <mergeCell ref="AO71:AP71"/>
    <mergeCell ref="N51:R51"/>
    <mergeCell ref="J72:K72"/>
    <mergeCell ref="AM52:AQ52"/>
    <mergeCell ref="AO70:AP70"/>
    <mergeCell ref="AS52:AW52"/>
    <mergeCell ref="AU70:AV70"/>
    <mergeCell ref="AU71:AV71"/>
    <mergeCell ref="V69:W69"/>
    <mergeCell ref="V70:W70"/>
    <mergeCell ref="V71:W71"/>
    <mergeCell ref="AO72:AP72"/>
    <mergeCell ref="V72:W72"/>
    <mergeCell ref="AB72:AC72"/>
    <mergeCell ref="AB70:AC70"/>
    <mergeCell ref="AB69:AC69"/>
    <mergeCell ref="P65:Q65"/>
    <mergeCell ref="P66:Q66"/>
    <mergeCell ref="P67:Q67"/>
    <mergeCell ref="J44:K44"/>
    <mergeCell ref="J45:K45"/>
    <mergeCell ref="P22:Q22"/>
    <mergeCell ref="V46:W46"/>
    <mergeCell ref="AT47:AU47"/>
    <mergeCell ref="BL21:BM21"/>
    <mergeCell ref="AN20:AO20"/>
    <mergeCell ref="AT20:AU20"/>
    <mergeCell ref="AZ20:BA20"/>
    <mergeCell ref="BF20:BG20"/>
    <mergeCell ref="BL20:BM20"/>
    <mergeCell ref="BF21:BG21"/>
    <mergeCell ref="BL22:BM22"/>
    <mergeCell ref="BJ27:BN27"/>
    <mergeCell ref="AN22:AO22"/>
    <mergeCell ref="AL27:AP27"/>
    <mergeCell ref="AN21:AO21"/>
    <mergeCell ref="AT21:AU21"/>
    <mergeCell ref="AZ21:BA21"/>
    <mergeCell ref="BD27:BH27"/>
    <mergeCell ref="BL45:BM45"/>
    <mergeCell ref="BL46:BM46"/>
    <mergeCell ref="V47:W47"/>
    <mergeCell ref="N26:R26"/>
    <mergeCell ref="B2:F2"/>
    <mergeCell ref="H2:L2"/>
    <mergeCell ref="T2:X2"/>
    <mergeCell ref="AF2:AJ2"/>
    <mergeCell ref="AH47:AI47"/>
    <mergeCell ref="AH23:AI23"/>
    <mergeCell ref="J23:K23"/>
    <mergeCell ref="P23:Q23"/>
    <mergeCell ref="V23:W23"/>
    <mergeCell ref="T26:X26"/>
    <mergeCell ref="V44:W44"/>
    <mergeCell ref="V45:W45"/>
    <mergeCell ref="H26:L26"/>
    <mergeCell ref="B26:F26"/>
    <mergeCell ref="D44:E44"/>
    <mergeCell ref="D45:E45"/>
    <mergeCell ref="D22:E22"/>
    <mergeCell ref="D23:E23"/>
    <mergeCell ref="D20:E20"/>
    <mergeCell ref="P20:Q20"/>
    <mergeCell ref="V20:W20"/>
    <mergeCell ref="AH20:AI20"/>
    <mergeCell ref="J20:K20"/>
    <mergeCell ref="AH21:AI21"/>
    <mergeCell ref="AO98:AP98"/>
    <mergeCell ref="BV2:BZ2"/>
    <mergeCell ref="BX20:BY20"/>
    <mergeCell ref="BX21:BY21"/>
    <mergeCell ref="BX22:BY22"/>
    <mergeCell ref="BX23:BY23"/>
    <mergeCell ref="BP2:BT2"/>
    <mergeCell ref="BR20:BS20"/>
    <mergeCell ref="BR21:BS21"/>
    <mergeCell ref="BR22:BS22"/>
    <mergeCell ref="BR23:BS23"/>
    <mergeCell ref="BF47:BG47"/>
    <mergeCell ref="BP27:BT27"/>
    <mergeCell ref="BR45:BS45"/>
    <mergeCell ref="BR46:BS46"/>
    <mergeCell ref="BR47:BS47"/>
    <mergeCell ref="AR2:AV2"/>
    <mergeCell ref="AX2:BB2"/>
    <mergeCell ref="BD2:BH2"/>
    <mergeCell ref="BJ2:BN2"/>
    <mergeCell ref="AL2:AP2"/>
    <mergeCell ref="BL23:BM23"/>
    <mergeCell ref="BF45:BG45"/>
    <mergeCell ref="BF46:BG46"/>
    <mergeCell ref="AZ22:BA22"/>
    <mergeCell ref="BF22:BG22"/>
    <mergeCell ref="AT46:AU46"/>
    <mergeCell ref="AZ23:BA23"/>
    <mergeCell ref="BF23:BG23"/>
    <mergeCell ref="AO97:AP97"/>
    <mergeCell ref="AM76:AQ76"/>
    <mergeCell ref="P94:Q94"/>
    <mergeCell ref="P95:Q95"/>
    <mergeCell ref="P96:Q96"/>
    <mergeCell ref="AT22:AU22"/>
    <mergeCell ref="AT23:AU23"/>
    <mergeCell ref="P44:Q44"/>
    <mergeCell ref="P45:Q45"/>
    <mergeCell ref="P46:Q46"/>
    <mergeCell ref="P47:Q47"/>
    <mergeCell ref="N75:R75"/>
    <mergeCell ref="P93:Q93"/>
    <mergeCell ref="T75:X75"/>
    <mergeCell ref="AO73:AP73"/>
    <mergeCell ref="AU73:AV73"/>
    <mergeCell ref="AU90:AV90"/>
    <mergeCell ref="AU91:AV91"/>
    <mergeCell ref="AU92:AV92"/>
    <mergeCell ref="J96:K96"/>
    <mergeCell ref="BE76:BI76"/>
    <mergeCell ref="BG94:BH94"/>
    <mergeCell ref="BG95:BH95"/>
    <mergeCell ref="BG96:BH96"/>
    <mergeCell ref="AO95:AP95"/>
    <mergeCell ref="AO96:AP96"/>
    <mergeCell ref="V93:W93"/>
    <mergeCell ref="V94:W94"/>
    <mergeCell ref="V95:W95"/>
    <mergeCell ref="V96:W96"/>
    <mergeCell ref="J93:K93"/>
    <mergeCell ref="BA95:BB95"/>
    <mergeCell ref="BA96:BB96"/>
    <mergeCell ref="AB95:AC95"/>
    <mergeCell ref="AB96:AC96"/>
  </mergeCells>
  <conditionalFormatting sqref="F23">
    <cfRule type="cellIs" dxfId="102" priority="54" operator="lessThan">
      <formula>0.65</formula>
    </cfRule>
  </conditionalFormatting>
  <conditionalFormatting sqref="F47">
    <cfRule type="cellIs" dxfId="101" priority="43" operator="lessThan">
      <formula>0.65</formula>
    </cfRule>
  </conditionalFormatting>
  <conditionalFormatting sqref="F68">
    <cfRule type="cellIs" dxfId="100" priority="19" operator="lessThan">
      <formula>0.65</formula>
    </cfRule>
  </conditionalFormatting>
  <conditionalFormatting sqref="F93">
    <cfRule type="cellIs" dxfId="99" priority="18" operator="lessThan">
      <formula>0.65</formula>
    </cfRule>
  </conditionalFormatting>
  <conditionalFormatting sqref="L23">
    <cfRule type="cellIs" dxfId="98" priority="53" operator="lessThan">
      <formula>0.65</formula>
    </cfRule>
  </conditionalFormatting>
  <conditionalFormatting sqref="L47">
    <cfRule type="cellIs" dxfId="97" priority="42" operator="lessThan">
      <formula>0.65</formula>
    </cfRule>
  </conditionalFormatting>
  <conditionalFormatting sqref="L72">
    <cfRule type="cellIs" dxfId="96" priority="30" operator="lessThan">
      <formula>0.65</formula>
    </cfRule>
  </conditionalFormatting>
  <conditionalFormatting sqref="L96">
    <cfRule type="cellIs" dxfId="95" priority="5" operator="lessThan">
      <formula>0.65</formula>
    </cfRule>
  </conditionalFormatting>
  <conditionalFormatting sqref="R23">
    <cfRule type="cellIs" dxfId="94" priority="52" operator="lessThan">
      <formula>0.65</formula>
    </cfRule>
  </conditionalFormatting>
  <conditionalFormatting sqref="R68">
    <cfRule type="cellIs" dxfId="93" priority="20" operator="lessThan">
      <formula>0.65</formula>
    </cfRule>
  </conditionalFormatting>
  <conditionalFormatting sqref="R96">
    <cfRule type="cellIs" dxfId="92" priority="4" operator="lessThan">
      <formula>0.65</formula>
    </cfRule>
  </conditionalFormatting>
  <conditionalFormatting sqref="X23">
    <cfRule type="cellIs" dxfId="91" priority="51" operator="lessThan">
      <formula>0.65</formula>
    </cfRule>
  </conditionalFormatting>
  <conditionalFormatting sqref="X47">
    <cfRule type="cellIs" dxfId="90" priority="40" operator="lessThan">
      <formula>0.65</formula>
    </cfRule>
  </conditionalFormatting>
  <conditionalFormatting sqref="X72">
    <cfRule type="cellIs" dxfId="89" priority="27" operator="lessThan">
      <formula>0.65</formula>
    </cfRule>
  </conditionalFormatting>
  <conditionalFormatting sqref="X96">
    <cfRule type="cellIs" dxfId="88" priority="3" operator="lessThan">
      <formula>0.65</formula>
    </cfRule>
  </conditionalFormatting>
  <conditionalFormatting sqref="AD72">
    <cfRule type="cellIs" dxfId="87" priority="26" operator="lessThan">
      <formula>0.65</formula>
    </cfRule>
  </conditionalFormatting>
  <conditionalFormatting sqref="AD98">
    <cfRule type="cellIs" dxfId="86" priority="17" operator="lessThan">
      <formula>0.65</formula>
    </cfRule>
  </conditionalFormatting>
  <conditionalFormatting sqref="AJ23">
    <cfRule type="cellIs" dxfId="85" priority="49" operator="lessThan">
      <formula>0.65</formula>
    </cfRule>
  </conditionalFormatting>
  <conditionalFormatting sqref="AJ48">
    <cfRule type="cellIs" dxfId="84" priority="39" operator="lessThan">
      <formula>0.65</formula>
    </cfRule>
  </conditionalFormatting>
  <conditionalFormatting sqref="AJ72">
    <cfRule type="cellIs" dxfId="83" priority="24" operator="lessThan">
      <formula>0.65</formula>
    </cfRule>
  </conditionalFormatting>
  <conditionalFormatting sqref="AP23">
    <cfRule type="cellIs" dxfId="82" priority="48" operator="lessThan">
      <formula>0.65</formula>
    </cfRule>
  </conditionalFormatting>
  <conditionalFormatting sqref="AP48">
    <cfRule type="cellIs" dxfId="81" priority="38" operator="lessThan">
      <formula>0.65</formula>
    </cfRule>
  </conditionalFormatting>
  <conditionalFormatting sqref="AQ73">
    <cfRule type="cellIs" dxfId="80" priority="29" operator="lessThan">
      <formula>0.65</formula>
    </cfRule>
  </conditionalFormatting>
  <conditionalFormatting sqref="AQ98">
    <cfRule type="cellIs" dxfId="79" priority="21" operator="lessThan">
      <formula>0.65</formula>
    </cfRule>
  </conditionalFormatting>
  <conditionalFormatting sqref="AV23">
    <cfRule type="cellIs" dxfId="78" priority="47" operator="lessThan">
      <formula>0.65</formula>
    </cfRule>
  </conditionalFormatting>
  <conditionalFormatting sqref="AV48">
    <cfRule type="cellIs" dxfId="77" priority="37" operator="lessThan">
      <formula>0.65</formula>
    </cfRule>
  </conditionalFormatting>
  <conditionalFormatting sqref="AW73">
    <cfRule type="cellIs" dxfId="76" priority="28" operator="lessThan">
      <formula>0.65</formula>
    </cfRule>
  </conditionalFormatting>
  <conditionalFormatting sqref="AW92">
    <cfRule type="cellIs" dxfId="75" priority="16" operator="lessThan">
      <formula>0.65</formula>
    </cfRule>
  </conditionalFormatting>
  <conditionalFormatting sqref="AW119">
    <cfRule type="cellIs" dxfId="74" priority="1" operator="lessThan">
      <formula>0.65</formula>
    </cfRule>
  </conditionalFormatting>
  <conditionalFormatting sqref="BB23">
    <cfRule type="cellIs" dxfId="73" priority="46" operator="lessThan">
      <formula>0.65</formula>
    </cfRule>
  </conditionalFormatting>
  <conditionalFormatting sqref="BB48">
    <cfRule type="cellIs" dxfId="72" priority="36" operator="lessThan">
      <formula>0.65</formula>
    </cfRule>
  </conditionalFormatting>
  <conditionalFormatting sqref="BC97">
    <cfRule type="cellIs" dxfId="71" priority="15" operator="lessThan">
      <formula>0.65</formula>
    </cfRule>
  </conditionalFormatting>
  <conditionalFormatting sqref="BH23">
    <cfRule type="cellIs" dxfId="70" priority="45" operator="lessThan">
      <formula>0.65</formula>
    </cfRule>
  </conditionalFormatting>
  <conditionalFormatting sqref="BH48">
    <cfRule type="cellIs" dxfId="69" priority="35" operator="lessThan">
      <formula>0.65</formula>
    </cfRule>
  </conditionalFormatting>
  <conditionalFormatting sqref="BH73">
    <cfRule type="cellIs" dxfId="68" priority="25" operator="lessThan">
      <formula>0.65</formula>
    </cfRule>
  </conditionalFormatting>
  <conditionalFormatting sqref="BI97">
    <cfRule type="cellIs" dxfId="67" priority="7" operator="lessThan">
      <formula>0.65</formula>
    </cfRule>
  </conditionalFormatting>
  <conditionalFormatting sqref="BN23">
    <cfRule type="cellIs" dxfId="66" priority="44" operator="lessThan">
      <formula>0.65</formula>
    </cfRule>
  </conditionalFormatting>
  <conditionalFormatting sqref="BN48">
    <cfRule type="cellIs" dxfId="65" priority="33" operator="lessThan">
      <formula>0.65</formula>
    </cfRule>
  </conditionalFormatting>
  <conditionalFormatting sqref="BO73">
    <cfRule type="cellIs" dxfId="64" priority="13" operator="lessThan">
      <formula>0.65</formula>
    </cfRule>
  </conditionalFormatting>
  <conditionalFormatting sqref="BO97">
    <cfRule type="cellIs" dxfId="63" priority="6" operator="lessThan">
      <formula>0.65</formula>
    </cfRule>
  </conditionalFormatting>
  <conditionalFormatting sqref="BT23">
    <cfRule type="cellIs" dxfId="62" priority="31" operator="lessThan">
      <formula>0.65</formula>
    </cfRule>
  </conditionalFormatting>
  <conditionalFormatting sqref="BT48">
    <cfRule type="cellIs" dxfId="61" priority="32" operator="lessThan">
      <formula>0.65</formula>
    </cfRule>
  </conditionalFormatting>
  <conditionalFormatting sqref="BU73">
    <cfRule type="cellIs" dxfId="60" priority="11" operator="lessThan">
      <formula>0.65</formula>
    </cfRule>
  </conditionalFormatting>
  <conditionalFormatting sqref="BZ23">
    <cfRule type="cellIs" dxfId="59" priority="22" operator="lessThan">
      <formula>0.65</formula>
    </cfRule>
  </conditionalFormatting>
  <conditionalFormatting sqref="BZ48">
    <cfRule type="cellIs" dxfId="58" priority="23" operator="lessThan">
      <formula>0.65</formula>
    </cfRule>
  </conditionalFormatting>
  <conditionalFormatting sqref="CA73">
    <cfRule type="cellIs" dxfId="57" priority="10" operator="lessThan">
      <formula>0.65</formula>
    </cfRule>
  </conditionalFormatting>
  <conditionalFormatting sqref="CF23">
    <cfRule type="cellIs" dxfId="56" priority="14" operator="lessThan">
      <formula>0.65</formula>
    </cfRule>
  </conditionalFormatting>
  <conditionalFormatting sqref="CF48">
    <cfRule type="cellIs" dxfId="55" priority="12" operator="lessThan">
      <formula>0.65</formula>
    </cfRule>
  </conditionalFormatting>
  <conditionalFormatting sqref="CG83">
    <cfRule type="cellIs" dxfId="54" priority="9" operator="lessThan">
      <formula>0.65</formula>
    </cfRule>
  </conditionalFormatting>
  <conditionalFormatting sqref="CM73">
    <cfRule type="cellIs" dxfId="53" priority="8" operator="lessThan">
      <formula>0.65</formula>
    </cfRule>
  </conditionalFormatting>
  <pageMargins left="0.25" right="0.25" top="0.75" bottom="0.75" header="0.3" footer="0.3"/>
  <pageSetup scale="1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796BD-5877-47BF-9174-BFD6D29C4ADA}">
  <dimension ref="B1:AP24"/>
  <sheetViews>
    <sheetView topLeftCell="U1" workbookViewId="0">
      <selection activeCell="AO5" sqref="AO5"/>
    </sheetView>
  </sheetViews>
  <sheetFormatPr defaultRowHeight="14.4" x14ac:dyDescent="0.3"/>
  <cols>
    <col min="20" max="20" width="11.21875" customWidth="1"/>
  </cols>
  <sheetData>
    <row r="1" spans="2:42" ht="15" thickBot="1" x14ac:dyDescent="0.35"/>
    <row r="2" spans="2:42" ht="15" thickBot="1" x14ac:dyDescent="0.35">
      <c r="B2" s="69" t="s">
        <v>504</v>
      </c>
      <c r="C2" s="70"/>
      <c r="D2" s="70"/>
      <c r="E2" s="70"/>
      <c r="F2" s="71"/>
      <c r="H2" s="69" t="s">
        <v>503</v>
      </c>
      <c r="I2" s="70"/>
      <c r="J2" s="70"/>
      <c r="K2" s="70"/>
      <c r="L2" s="71"/>
      <c r="N2" s="69" t="s">
        <v>481</v>
      </c>
      <c r="O2" s="70"/>
      <c r="P2" s="70"/>
      <c r="Q2" s="70"/>
      <c r="R2" s="71"/>
      <c r="T2" s="69" t="s">
        <v>355</v>
      </c>
      <c r="U2" s="70"/>
      <c r="V2" s="70"/>
      <c r="W2" s="70"/>
      <c r="X2" s="71"/>
      <c r="Z2" s="69" t="s">
        <v>507</v>
      </c>
      <c r="AA2" s="70"/>
      <c r="AB2" s="70"/>
      <c r="AC2" s="70"/>
      <c r="AD2" s="71"/>
      <c r="AF2" s="69" t="s">
        <v>511</v>
      </c>
      <c r="AG2" s="70"/>
      <c r="AH2" s="70"/>
      <c r="AI2" s="70"/>
      <c r="AJ2" s="71"/>
      <c r="AL2" s="69" t="s">
        <v>516</v>
      </c>
      <c r="AM2" s="70"/>
      <c r="AN2" s="70"/>
      <c r="AO2" s="70"/>
      <c r="AP2" s="71"/>
    </row>
    <row r="3" spans="2:42" ht="15" thickBot="1" x14ac:dyDescent="0.35">
      <c r="B3" s="2" t="s">
        <v>3</v>
      </c>
      <c r="C3" s="3" t="s">
        <v>4</v>
      </c>
      <c r="D3" s="3" t="s">
        <v>5</v>
      </c>
      <c r="E3" s="4" t="s">
        <v>6</v>
      </c>
      <c r="F3" s="5" t="s">
        <v>7</v>
      </c>
      <c r="H3" s="2" t="s">
        <v>3</v>
      </c>
      <c r="I3" s="3" t="s">
        <v>4</v>
      </c>
      <c r="J3" s="3" t="s">
        <v>5</v>
      </c>
      <c r="K3" s="4" t="s">
        <v>6</v>
      </c>
      <c r="L3" s="5" t="s">
        <v>7</v>
      </c>
      <c r="N3" s="2" t="s">
        <v>3</v>
      </c>
      <c r="O3" s="3" t="s">
        <v>4</v>
      </c>
      <c r="P3" s="3" t="s">
        <v>5</v>
      </c>
      <c r="Q3" s="4" t="s">
        <v>6</v>
      </c>
      <c r="R3" s="5"/>
      <c r="T3" s="2" t="s">
        <v>317</v>
      </c>
      <c r="U3" s="3" t="s">
        <v>4</v>
      </c>
      <c r="V3" s="3" t="s">
        <v>5</v>
      </c>
      <c r="W3" s="4" t="s">
        <v>6</v>
      </c>
      <c r="X3" s="5" t="s">
        <v>7</v>
      </c>
      <c r="Z3" s="2" t="s">
        <v>3</v>
      </c>
      <c r="AA3" s="3" t="s">
        <v>4</v>
      </c>
      <c r="AB3" s="3" t="s">
        <v>5</v>
      </c>
      <c r="AC3" s="4" t="s">
        <v>6</v>
      </c>
      <c r="AD3" s="5" t="s">
        <v>7</v>
      </c>
      <c r="AF3" s="2" t="s">
        <v>3</v>
      </c>
      <c r="AG3" s="3" t="s">
        <v>4</v>
      </c>
      <c r="AH3" s="3" t="s">
        <v>5</v>
      </c>
      <c r="AI3" s="4" t="s">
        <v>6</v>
      </c>
      <c r="AJ3" s="5" t="s">
        <v>7</v>
      </c>
      <c r="AL3" s="2" t="s">
        <v>3</v>
      </c>
      <c r="AM3" s="3" t="s">
        <v>4</v>
      </c>
      <c r="AN3" s="3" t="s">
        <v>5</v>
      </c>
      <c r="AO3" s="4" t="s">
        <v>6</v>
      </c>
      <c r="AP3" s="5" t="s">
        <v>7</v>
      </c>
    </row>
    <row r="4" spans="2:42" x14ac:dyDescent="0.3">
      <c r="B4" s="7" t="s">
        <v>122</v>
      </c>
      <c r="C4" s="8" t="s">
        <v>34</v>
      </c>
      <c r="D4" s="9">
        <v>12</v>
      </c>
      <c r="E4" s="10">
        <v>0.15</v>
      </c>
      <c r="F4" s="11">
        <f t="shared" ref="F4:F18" si="0">+E4*D4</f>
        <v>1.7999999999999998</v>
      </c>
      <c r="H4" s="7" t="s">
        <v>505</v>
      </c>
      <c r="I4" s="8" t="s">
        <v>34</v>
      </c>
      <c r="J4" s="9">
        <v>16.5</v>
      </c>
      <c r="K4" s="10">
        <v>0.2</v>
      </c>
      <c r="L4" s="11">
        <f t="shared" ref="L4:L18" si="1">+K4*J4</f>
        <v>3.3000000000000003</v>
      </c>
      <c r="N4" s="7" t="s">
        <v>247</v>
      </c>
      <c r="O4" s="8" t="s">
        <v>11</v>
      </c>
      <c r="P4" s="9">
        <v>0.34</v>
      </c>
      <c r="Q4" s="10">
        <v>4</v>
      </c>
      <c r="R4" s="11">
        <f t="shared" ref="R4:R11" si="2">+Q4*P4</f>
        <v>1.36</v>
      </c>
      <c r="T4" s="7"/>
      <c r="U4" s="8"/>
      <c r="V4" s="9"/>
      <c r="W4" s="10"/>
      <c r="X4" s="11"/>
      <c r="Z4" s="7" t="s">
        <v>338</v>
      </c>
      <c r="AA4" s="8" t="s">
        <v>34</v>
      </c>
      <c r="AB4" s="9">
        <v>5.2</v>
      </c>
      <c r="AC4" s="10">
        <v>0.25</v>
      </c>
      <c r="AD4" s="11">
        <f t="shared" ref="AD4:AD14" si="3">+AC4*AB4</f>
        <v>1.3</v>
      </c>
      <c r="AF4" s="7" t="s">
        <v>168</v>
      </c>
      <c r="AG4" s="8" t="s">
        <v>34</v>
      </c>
      <c r="AH4" s="9">
        <v>2.95</v>
      </c>
      <c r="AI4" s="10">
        <v>0.25</v>
      </c>
      <c r="AJ4" s="11">
        <f t="shared" ref="AJ4:AJ14" si="4">+AI4*AH4</f>
        <v>0.73750000000000004</v>
      </c>
      <c r="AL4" s="7" t="s">
        <v>516</v>
      </c>
      <c r="AM4" s="8" t="s">
        <v>517</v>
      </c>
      <c r="AN4" s="9">
        <v>9.25</v>
      </c>
      <c r="AO4" s="10">
        <v>0.35</v>
      </c>
      <c r="AP4" s="11">
        <f t="shared" ref="AP4:AP14" si="5">+AO4*AN4</f>
        <v>3.2374999999999998</v>
      </c>
    </row>
    <row r="5" spans="2:42" x14ac:dyDescent="0.3">
      <c r="B5" s="15" t="s">
        <v>131</v>
      </c>
      <c r="C5" s="16" t="s">
        <v>128</v>
      </c>
      <c r="D5" s="17">
        <v>0.25</v>
      </c>
      <c r="E5" s="18">
        <v>1</v>
      </c>
      <c r="F5" s="11">
        <f t="shared" si="0"/>
        <v>0.25</v>
      </c>
      <c r="H5" s="15" t="s">
        <v>133</v>
      </c>
      <c r="I5" s="16" t="s">
        <v>9</v>
      </c>
      <c r="J5" s="17">
        <v>11</v>
      </c>
      <c r="K5" s="18">
        <v>0</v>
      </c>
      <c r="L5" s="11">
        <f t="shared" si="1"/>
        <v>0</v>
      </c>
      <c r="N5" s="15" t="s">
        <v>510</v>
      </c>
      <c r="O5" s="16"/>
      <c r="P5" s="17">
        <v>12.65</v>
      </c>
      <c r="Q5" s="18">
        <v>0.2</v>
      </c>
      <c r="R5" s="11">
        <f t="shared" si="2"/>
        <v>2.5300000000000002</v>
      </c>
      <c r="T5" s="15" t="s">
        <v>354</v>
      </c>
      <c r="U5" s="16"/>
      <c r="V5" s="17">
        <v>1.77</v>
      </c>
      <c r="W5" s="18">
        <v>1</v>
      </c>
      <c r="X5" s="11">
        <f t="shared" ref="X5:X8" si="6">+W5*V5</f>
        <v>1.77</v>
      </c>
      <c r="Z5" s="15" t="s">
        <v>508</v>
      </c>
      <c r="AA5" s="16"/>
      <c r="AB5" s="17">
        <v>1</v>
      </c>
      <c r="AC5" s="18">
        <v>1</v>
      </c>
      <c r="AD5" s="11">
        <f t="shared" si="3"/>
        <v>1</v>
      </c>
      <c r="AF5" s="15" t="s">
        <v>14</v>
      </c>
      <c r="AG5" s="16"/>
      <c r="AH5" s="17">
        <v>1</v>
      </c>
      <c r="AI5" s="18">
        <v>1</v>
      </c>
      <c r="AJ5" s="11">
        <f t="shared" si="4"/>
        <v>1</v>
      </c>
      <c r="AL5" s="15"/>
      <c r="AM5" s="16"/>
      <c r="AN5" s="17"/>
      <c r="AO5" s="18"/>
      <c r="AP5" s="11"/>
    </row>
    <row r="6" spans="2:42" x14ac:dyDescent="0.3">
      <c r="B6" s="15" t="s">
        <v>141</v>
      </c>
      <c r="C6" s="16" t="s">
        <v>34</v>
      </c>
      <c r="D6" s="17">
        <v>0.6</v>
      </c>
      <c r="E6" s="18">
        <v>0.1</v>
      </c>
      <c r="F6" s="11">
        <f t="shared" si="0"/>
        <v>0.06</v>
      </c>
      <c r="H6" s="15" t="s">
        <v>142</v>
      </c>
      <c r="I6" s="16" t="s">
        <v>9</v>
      </c>
      <c r="J6" s="17">
        <v>0.15</v>
      </c>
      <c r="K6" s="18">
        <v>0.25</v>
      </c>
      <c r="L6" s="11">
        <f t="shared" si="1"/>
        <v>3.7499999999999999E-2</v>
      </c>
      <c r="N6" s="15" t="s">
        <v>170</v>
      </c>
      <c r="O6" s="16" t="s">
        <v>11</v>
      </c>
      <c r="P6" s="17">
        <v>1.8</v>
      </c>
      <c r="Q6" s="18">
        <v>0.25</v>
      </c>
      <c r="R6" s="11">
        <f t="shared" si="2"/>
        <v>0.45</v>
      </c>
      <c r="T6" s="15" t="s">
        <v>506</v>
      </c>
      <c r="U6" s="16"/>
      <c r="V6" s="17">
        <v>0.34</v>
      </c>
      <c r="W6" s="18">
        <v>6</v>
      </c>
      <c r="X6" s="11">
        <f t="shared" si="6"/>
        <v>2.04</v>
      </c>
      <c r="Z6" s="15" t="s">
        <v>509</v>
      </c>
      <c r="AA6" s="16"/>
      <c r="AB6" s="17">
        <v>11</v>
      </c>
      <c r="AC6" s="18">
        <v>0.2</v>
      </c>
      <c r="AD6" s="11">
        <f t="shared" si="3"/>
        <v>2.2000000000000002</v>
      </c>
      <c r="AF6" s="15" t="s">
        <v>512</v>
      </c>
      <c r="AG6" s="16"/>
      <c r="AH6" s="17">
        <v>12</v>
      </c>
      <c r="AI6" s="18">
        <v>0.2</v>
      </c>
      <c r="AJ6" s="11">
        <f t="shared" si="4"/>
        <v>2.4000000000000004</v>
      </c>
      <c r="AL6" s="15" t="s">
        <v>8</v>
      </c>
      <c r="AM6" s="16" t="s">
        <v>9</v>
      </c>
      <c r="AN6" s="17">
        <v>8.6999999999999993</v>
      </c>
      <c r="AO6" s="18">
        <v>0.03</v>
      </c>
      <c r="AP6" s="11">
        <f t="shared" si="5"/>
        <v>0.26099999999999995</v>
      </c>
    </row>
    <row r="7" spans="2:42" x14ac:dyDescent="0.3">
      <c r="B7" s="15" t="s">
        <v>146</v>
      </c>
      <c r="C7" s="16" t="s">
        <v>11</v>
      </c>
      <c r="D7" s="17">
        <v>1.5</v>
      </c>
      <c r="E7" s="68">
        <v>0.05</v>
      </c>
      <c r="F7" s="11">
        <f t="shared" si="0"/>
        <v>7.5000000000000011E-2</v>
      </c>
      <c r="H7" s="15" t="s">
        <v>8</v>
      </c>
      <c r="I7" s="16" t="s">
        <v>9</v>
      </c>
      <c r="J7" s="17">
        <v>8.6999999999999993</v>
      </c>
      <c r="K7" s="18">
        <v>0.03</v>
      </c>
      <c r="L7" s="11">
        <f t="shared" si="1"/>
        <v>0.26099999999999995</v>
      </c>
      <c r="N7" s="15"/>
      <c r="O7" s="16"/>
      <c r="P7" s="17"/>
      <c r="Q7" s="18"/>
      <c r="R7" s="11">
        <f t="shared" si="2"/>
        <v>0</v>
      </c>
      <c r="T7" s="15" t="s">
        <v>181</v>
      </c>
      <c r="U7" s="16"/>
      <c r="V7" s="17">
        <v>9.1999999999999993</v>
      </c>
      <c r="W7" s="18">
        <v>0.1</v>
      </c>
      <c r="X7" s="11">
        <f t="shared" si="6"/>
        <v>0.91999999999999993</v>
      </c>
      <c r="Z7" s="15" t="s">
        <v>181</v>
      </c>
      <c r="AA7" s="16"/>
      <c r="AB7" s="17">
        <v>9.1999999999999993</v>
      </c>
      <c r="AC7" s="18">
        <v>0.1</v>
      </c>
      <c r="AD7" s="11">
        <f t="shared" si="3"/>
        <v>0.91999999999999993</v>
      </c>
      <c r="AF7" s="15" t="s">
        <v>22</v>
      </c>
      <c r="AG7" s="16"/>
      <c r="AH7" s="17">
        <v>1.2</v>
      </c>
      <c r="AI7" s="18">
        <v>0.1</v>
      </c>
      <c r="AJ7" s="11">
        <f t="shared" si="4"/>
        <v>0.12</v>
      </c>
      <c r="AL7" s="15" t="s">
        <v>151</v>
      </c>
      <c r="AM7" s="16" t="s">
        <v>9</v>
      </c>
      <c r="AN7" s="17">
        <v>0.4</v>
      </c>
      <c r="AO7" s="18">
        <v>0.01</v>
      </c>
      <c r="AP7" s="11">
        <f t="shared" si="5"/>
        <v>4.0000000000000001E-3</v>
      </c>
    </row>
    <row r="8" spans="2:42" x14ac:dyDescent="0.3">
      <c r="B8" s="15" t="s">
        <v>463</v>
      </c>
      <c r="C8" s="16"/>
      <c r="D8" s="17">
        <v>45</v>
      </c>
      <c r="E8" s="18">
        <v>0.03</v>
      </c>
      <c r="F8" s="11">
        <f t="shared" si="0"/>
        <v>1.3499999999999999</v>
      </c>
      <c r="H8" s="15" t="s">
        <v>151</v>
      </c>
      <c r="I8" s="16" t="s">
        <v>9</v>
      </c>
      <c r="J8" s="17">
        <v>0.4</v>
      </c>
      <c r="K8" s="18">
        <v>0.01</v>
      </c>
      <c r="L8" s="11">
        <f t="shared" si="1"/>
        <v>4.0000000000000001E-3</v>
      </c>
      <c r="N8" s="15"/>
      <c r="O8" s="16"/>
      <c r="P8" s="17"/>
      <c r="Q8" s="18"/>
      <c r="R8" s="11">
        <f t="shared" si="2"/>
        <v>0</v>
      </c>
      <c r="T8" s="15"/>
      <c r="U8" s="16"/>
      <c r="V8" s="17"/>
      <c r="W8" s="18"/>
      <c r="X8" s="11">
        <f t="shared" si="6"/>
        <v>0</v>
      </c>
      <c r="Z8" s="19" t="s">
        <v>152</v>
      </c>
      <c r="AA8" s="20" t="s">
        <v>9</v>
      </c>
      <c r="AB8" s="20">
        <v>3</v>
      </c>
      <c r="AC8" s="21">
        <v>0.15</v>
      </c>
      <c r="AD8" s="11">
        <f t="shared" si="3"/>
        <v>0.44999999999999996</v>
      </c>
      <c r="AF8" s="19" t="s">
        <v>513</v>
      </c>
      <c r="AG8" s="20" t="s">
        <v>9</v>
      </c>
      <c r="AH8" s="20">
        <v>3</v>
      </c>
      <c r="AI8" s="21">
        <v>0.1</v>
      </c>
      <c r="AJ8" s="11">
        <f t="shared" si="4"/>
        <v>0.30000000000000004</v>
      </c>
      <c r="AL8" s="15" t="s">
        <v>159</v>
      </c>
      <c r="AM8" s="16" t="s">
        <v>9</v>
      </c>
      <c r="AN8" s="17">
        <v>0.4</v>
      </c>
      <c r="AO8" s="18">
        <v>0.01</v>
      </c>
      <c r="AP8" s="11">
        <f t="shared" si="5"/>
        <v>4.0000000000000001E-3</v>
      </c>
    </row>
    <row r="9" spans="2:42" x14ac:dyDescent="0.3">
      <c r="B9" s="15" t="s">
        <v>157</v>
      </c>
      <c r="C9" s="16" t="s">
        <v>11</v>
      </c>
      <c r="D9" s="17">
        <v>3.83</v>
      </c>
      <c r="E9" s="18">
        <v>0.01</v>
      </c>
      <c r="F9" s="11">
        <f t="shared" si="0"/>
        <v>3.8300000000000001E-2</v>
      </c>
      <c r="H9" s="15" t="s">
        <v>159</v>
      </c>
      <c r="I9" s="16" t="s">
        <v>9</v>
      </c>
      <c r="J9" s="17">
        <v>0.4</v>
      </c>
      <c r="K9" s="18">
        <v>0.01</v>
      </c>
      <c r="L9" s="11">
        <f t="shared" si="1"/>
        <v>4.0000000000000001E-3</v>
      </c>
      <c r="N9" s="19"/>
      <c r="O9" s="20"/>
      <c r="P9" s="20"/>
      <c r="Q9" s="21"/>
      <c r="R9" s="11">
        <f t="shared" si="2"/>
        <v>0</v>
      </c>
      <c r="T9" s="15"/>
      <c r="U9" s="16"/>
      <c r="V9" s="17"/>
      <c r="W9" s="18"/>
      <c r="X9" s="11"/>
      <c r="Z9" s="19"/>
      <c r="AA9" s="20"/>
      <c r="AB9" s="20"/>
      <c r="AC9" s="21"/>
      <c r="AD9" s="11">
        <f t="shared" si="3"/>
        <v>0</v>
      </c>
      <c r="AF9" s="19"/>
      <c r="AG9" s="20"/>
      <c r="AH9" s="20"/>
      <c r="AI9" s="21"/>
      <c r="AJ9" s="11">
        <f t="shared" si="4"/>
        <v>0</v>
      </c>
      <c r="AL9" s="15" t="s">
        <v>154</v>
      </c>
      <c r="AM9" s="16" t="s">
        <v>38</v>
      </c>
      <c r="AN9" s="17">
        <v>1.5</v>
      </c>
      <c r="AO9" s="18">
        <v>0.02</v>
      </c>
      <c r="AP9" s="11">
        <f t="shared" si="5"/>
        <v>0.03</v>
      </c>
    </row>
    <row r="10" spans="2:42" x14ac:dyDescent="0.3">
      <c r="B10" s="15" t="s">
        <v>165</v>
      </c>
      <c r="C10" s="16" t="s">
        <v>11</v>
      </c>
      <c r="D10" s="17">
        <v>1</v>
      </c>
      <c r="E10" s="18">
        <v>0.02</v>
      </c>
      <c r="F10" s="11">
        <f t="shared" si="0"/>
        <v>0.02</v>
      </c>
      <c r="H10" s="15" t="s">
        <v>154</v>
      </c>
      <c r="I10" s="16" t="s">
        <v>38</v>
      </c>
      <c r="J10" s="17">
        <v>1.5</v>
      </c>
      <c r="K10" s="18">
        <v>0.02</v>
      </c>
      <c r="L10" s="11">
        <f t="shared" si="1"/>
        <v>0.03</v>
      </c>
      <c r="N10" s="15" t="s">
        <v>10</v>
      </c>
      <c r="O10" s="16" t="s">
        <v>11</v>
      </c>
      <c r="P10" s="17">
        <v>8.6999999999999993</v>
      </c>
      <c r="Q10" s="18">
        <v>0.02</v>
      </c>
      <c r="R10" s="11">
        <f t="shared" si="2"/>
        <v>0.17399999999999999</v>
      </c>
      <c r="T10" s="15"/>
      <c r="U10" s="16"/>
      <c r="V10" s="17"/>
      <c r="W10" s="18"/>
      <c r="X10" s="11"/>
      <c r="Z10" s="19"/>
      <c r="AA10" s="20"/>
      <c r="AB10" s="20"/>
      <c r="AC10" s="21"/>
      <c r="AD10" s="11">
        <f t="shared" si="3"/>
        <v>0</v>
      </c>
      <c r="AF10" s="19"/>
      <c r="AG10" s="20"/>
      <c r="AH10" s="20"/>
      <c r="AI10" s="21"/>
      <c r="AJ10" s="11">
        <f t="shared" si="4"/>
        <v>0</v>
      </c>
      <c r="AL10" s="15" t="s">
        <v>167</v>
      </c>
      <c r="AM10" s="16" t="s">
        <v>9</v>
      </c>
      <c r="AN10" s="17">
        <v>11</v>
      </c>
      <c r="AO10" s="18">
        <v>2E-3</v>
      </c>
      <c r="AP10" s="11">
        <f t="shared" si="5"/>
        <v>2.1999999999999999E-2</v>
      </c>
    </row>
    <row r="11" spans="2:42" x14ac:dyDescent="0.3">
      <c r="B11" s="15" t="s">
        <v>170</v>
      </c>
      <c r="C11" s="16" t="s">
        <v>11</v>
      </c>
      <c r="D11" s="17">
        <v>1.8</v>
      </c>
      <c r="E11" s="18">
        <v>0.25</v>
      </c>
      <c r="F11" s="11">
        <f t="shared" si="0"/>
        <v>0.45</v>
      </c>
      <c r="H11" s="15" t="s">
        <v>167</v>
      </c>
      <c r="I11" s="16" t="s">
        <v>9</v>
      </c>
      <c r="J11" s="17">
        <v>11</v>
      </c>
      <c r="K11" s="18">
        <v>2E-3</v>
      </c>
      <c r="L11" s="11">
        <f t="shared" si="1"/>
        <v>2.1999999999999999E-2</v>
      </c>
      <c r="N11" s="15" t="s">
        <v>183</v>
      </c>
      <c r="O11" s="16" t="s">
        <v>11</v>
      </c>
      <c r="P11" s="17">
        <v>6</v>
      </c>
      <c r="Q11" s="18">
        <v>0.01</v>
      </c>
      <c r="R11" s="11">
        <f t="shared" si="2"/>
        <v>0.06</v>
      </c>
      <c r="T11" s="15"/>
      <c r="U11" s="16"/>
      <c r="V11" s="17"/>
      <c r="W11" s="18"/>
      <c r="X11" s="11"/>
      <c r="Z11" s="19"/>
      <c r="AA11" s="20"/>
      <c r="AB11" s="20"/>
      <c r="AC11" s="21"/>
      <c r="AD11" s="11">
        <f t="shared" si="3"/>
        <v>0</v>
      </c>
      <c r="AF11" s="19"/>
      <c r="AG11" s="20"/>
      <c r="AH11" s="20"/>
      <c r="AI11" s="21"/>
      <c r="AJ11" s="11">
        <f t="shared" si="4"/>
        <v>0</v>
      </c>
      <c r="AL11" s="19" t="s">
        <v>166</v>
      </c>
      <c r="AM11" s="20" t="s">
        <v>9</v>
      </c>
      <c r="AN11" s="20">
        <v>0.02</v>
      </c>
      <c r="AO11" s="21">
        <v>2E-3</v>
      </c>
      <c r="AP11" s="11">
        <f t="shared" si="5"/>
        <v>4.0000000000000003E-5</v>
      </c>
    </row>
    <row r="12" spans="2:42" x14ac:dyDescent="0.3">
      <c r="B12" s="19" t="s">
        <v>154</v>
      </c>
      <c r="C12" s="20" t="s">
        <v>44</v>
      </c>
      <c r="D12" s="20">
        <v>1.5</v>
      </c>
      <c r="E12" s="21">
        <v>0.01</v>
      </c>
      <c r="F12" s="11">
        <f t="shared" si="0"/>
        <v>1.4999999999999999E-2</v>
      </c>
      <c r="H12" s="19" t="s">
        <v>166</v>
      </c>
      <c r="I12" s="20" t="s">
        <v>9</v>
      </c>
      <c r="J12" s="20">
        <v>0.02</v>
      </c>
      <c r="K12" s="21">
        <v>2E-3</v>
      </c>
      <c r="L12" s="11">
        <f t="shared" si="1"/>
        <v>4.0000000000000003E-5</v>
      </c>
      <c r="N12" s="19"/>
      <c r="O12" s="20"/>
      <c r="P12" s="20"/>
      <c r="Q12" s="21"/>
      <c r="R12" s="11"/>
      <c r="T12" s="19"/>
      <c r="U12" s="20"/>
      <c r="V12" s="20"/>
      <c r="W12" s="21"/>
      <c r="X12" s="11"/>
      <c r="Z12" s="19"/>
      <c r="AA12" s="20"/>
      <c r="AB12" s="20"/>
      <c r="AC12" s="21"/>
      <c r="AD12" s="11">
        <f t="shared" si="3"/>
        <v>0</v>
      </c>
      <c r="AF12" s="19"/>
      <c r="AG12" s="20"/>
      <c r="AH12" s="20"/>
      <c r="AI12" s="21"/>
      <c r="AJ12" s="11">
        <f t="shared" si="4"/>
        <v>0</v>
      </c>
      <c r="AL12" s="19" t="s">
        <v>152</v>
      </c>
      <c r="AM12" s="20" t="s">
        <v>9</v>
      </c>
      <c r="AN12" s="20">
        <v>3</v>
      </c>
      <c r="AO12" s="21">
        <v>0.15</v>
      </c>
      <c r="AP12" s="11">
        <f t="shared" si="5"/>
        <v>0.44999999999999996</v>
      </c>
    </row>
    <row r="13" spans="2:42" x14ac:dyDescent="0.3">
      <c r="B13" s="19" t="s">
        <v>8</v>
      </c>
      <c r="C13" s="20" t="s">
        <v>11</v>
      </c>
      <c r="D13" s="20">
        <v>8.6999999999999993</v>
      </c>
      <c r="E13" s="21">
        <v>0.03</v>
      </c>
      <c r="F13" s="11">
        <f t="shared" si="0"/>
        <v>0.26099999999999995</v>
      </c>
      <c r="H13" s="19" t="s">
        <v>152</v>
      </c>
      <c r="I13" s="20" t="s">
        <v>9</v>
      </c>
      <c r="J13" s="20">
        <v>3</v>
      </c>
      <c r="K13" s="21">
        <v>0.15</v>
      </c>
      <c r="L13" s="11">
        <f t="shared" si="1"/>
        <v>0.44999999999999996</v>
      </c>
      <c r="N13" s="19"/>
      <c r="O13" s="20"/>
      <c r="P13" s="20"/>
      <c r="Q13" s="21"/>
      <c r="R13" s="11"/>
      <c r="T13" s="19"/>
      <c r="U13" s="20"/>
      <c r="V13" s="20"/>
      <c r="W13" s="21"/>
      <c r="X13" s="11"/>
      <c r="Z13" s="19"/>
      <c r="AA13" s="20"/>
      <c r="AB13" s="20"/>
      <c r="AC13" s="21"/>
      <c r="AD13" s="11">
        <f t="shared" si="3"/>
        <v>0</v>
      </c>
      <c r="AF13" s="19"/>
      <c r="AG13" s="20"/>
      <c r="AH13" s="20"/>
      <c r="AI13" s="21"/>
      <c r="AJ13" s="11">
        <f t="shared" si="4"/>
        <v>0</v>
      </c>
      <c r="AL13" s="19"/>
      <c r="AM13" s="20"/>
      <c r="AN13" s="20"/>
      <c r="AO13" s="21"/>
      <c r="AP13" s="11"/>
    </row>
    <row r="14" spans="2:42" x14ac:dyDescent="0.3">
      <c r="B14" s="19" t="s">
        <v>462</v>
      </c>
      <c r="C14" s="20"/>
      <c r="D14" s="20"/>
      <c r="E14" s="21">
        <v>0.05</v>
      </c>
      <c r="F14" s="11">
        <f t="shared" si="0"/>
        <v>0</v>
      </c>
      <c r="H14" s="19" t="s">
        <v>180</v>
      </c>
      <c r="I14" s="20" t="s">
        <v>38</v>
      </c>
      <c r="J14" s="20">
        <v>5.84</v>
      </c>
      <c r="K14" s="21">
        <v>2E-3</v>
      </c>
      <c r="L14" s="11">
        <f t="shared" si="1"/>
        <v>1.1679999999999999E-2</v>
      </c>
      <c r="N14" s="19"/>
      <c r="O14" s="20"/>
      <c r="P14" s="20"/>
      <c r="Q14" s="21"/>
      <c r="R14" s="11"/>
      <c r="T14" s="19"/>
      <c r="U14" s="20"/>
      <c r="V14" s="20"/>
      <c r="W14" s="21"/>
      <c r="X14" s="11"/>
      <c r="Z14" s="15" t="s">
        <v>170</v>
      </c>
      <c r="AA14" s="16" t="s">
        <v>11</v>
      </c>
      <c r="AB14" s="17">
        <v>1.8</v>
      </c>
      <c r="AC14" s="18">
        <v>0.25</v>
      </c>
      <c r="AD14" s="11">
        <f t="shared" si="3"/>
        <v>0.45</v>
      </c>
      <c r="AF14" s="15"/>
      <c r="AG14" s="16"/>
      <c r="AH14" s="17"/>
      <c r="AI14" s="18"/>
      <c r="AJ14" s="11">
        <f t="shared" si="4"/>
        <v>0</v>
      </c>
      <c r="AL14" s="15" t="s">
        <v>170</v>
      </c>
      <c r="AM14" s="16" t="s">
        <v>11</v>
      </c>
      <c r="AN14" s="17">
        <v>1.8</v>
      </c>
      <c r="AO14" s="18">
        <v>0.25</v>
      </c>
      <c r="AP14" s="11">
        <f t="shared" si="5"/>
        <v>0.45</v>
      </c>
    </row>
    <row r="15" spans="2:42" x14ac:dyDescent="0.3">
      <c r="B15" s="19" t="s">
        <v>181</v>
      </c>
      <c r="C15" s="20"/>
      <c r="D15" s="20"/>
      <c r="E15" s="21">
        <v>0.02</v>
      </c>
      <c r="F15" s="11">
        <f t="shared" si="0"/>
        <v>0</v>
      </c>
      <c r="H15" s="19" t="s">
        <v>220</v>
      </c>
      <c r="I15" s="20" t="s">
        <v>38</v>
      </c>
      <c r="J15" s="20">
        <v>9.1999999999999993</v>
      </c>
      <c r="K15" s="21">
        <v>0</v>
      </c>
      <c r="L15" s="11">
        <f t="shared" si="1"/>
        <v>0</v>
      </c>
      <c r="N15" s="19"/>
      <c r="O15" s="20"/>
      <c r="P15" s="20"/>
      <c r="Q15" s="21"/>
      <c r="R15" s="11"/>
      <c r="T15" s="19"/>
      <c r="U15" s="20"/>
      <c r="V15" s="20"/>
      <c r="W15" s="21"/>
      <c r="X15" s="11"/>
      <c r="Z15" s="19"/>
      <c r="AA15" s="20"/>
      <c r="AB15" s="20"/>
      <c r="AC15" s="21"/>
      <c r="AD15" s="11"/>
      <c r="AF15" s="19"/>
      <c r="AG15" s="20"/>
      <c r="AH15" s="20"/>
      <c r="AI15" s="21"/>
      <c r="AJ15" s="11"/>
      <c r="AL15" s="19"/>
      <c r="AM15" s="20"/>
      <c r="AN15" s="20"/>
      <c r="AO15" s="21"/>
      <c r="AP15" s="11"/>
    </row>
    <row r="16" spans="2:42" ht="15" thickBot="1" x14ac:dyDescent="0.35">
      <c r="B16" s="19"/>
      <c r="C16" s="20"/>
      <c r="D16" s="20"/>
      <c r="E16" s="21"/>
      <c r="F16" s="11">
        <f t="shared" si="0"/>
        <v>0</v>
      </c>
      <c r="H16" s="19"/>
      <c r="I16" s="20"/>
      <c r="J16" s="20"/>
      <c r="K16" s="21"/>
      <c r="L16" s="11">
        <f t="shared" si="1"/>
        <v>0</v>
      </c>
      <c r="N16" s="19"/>
      <c r="O16" s="20"/>
      <c r="P16" s="20"/>
      <c r="Q16" s="21"/>
      <c r="R16" s="11"/>
      <c r="T16" s="22"/>
      <c r="U16" s="23"/>
      <c r="V16" s="23"/>
      <c r="W16" s="24"/>
      <c r="X16" s="25"/>
      <c r="Z16" s="22"/>
      <c r="AA16" s="23"/>
      <c r="AB16" s="23"/>
      <c r="AC16" s="24"/>
      <c r="AD16" s="25"/>
      <c r="AF16" s="22"/>
      <c r="AG16" s="23"/>
      <c r="AH16" s="23"/>
      <c r="AI16" s="24"/>
      <c r="AJ16" s="25"/>
      <c r="AL16" s="22"/>
      <c r="AM16" s="23"/>
      <c r="AN16" s="23"/>
      <c r="AO16" s="24"/>
      <c r="AP16" s="25"/>
    </row>
    <row r="17" spans="2:42" ht="15" thickBot="1" x14ac:dyDescent="0.35">
      <c r="B17" s="19"/>
      <c r="C17" s="20"/>
      <c r="D17" s="20"/>
      <c r="E17" s="21"/>
      <c r="F17" s="11">
        <f t="shared" si="0"/>
        <v>0</v>
      </c>
      <c r="H17" s="19"/>
      <c r="I17" s="20"/>
      <c r="J17" s="20"/>
      <c r="K17" s="21"/>
      <c r="L17" s="11">
        <f t="shared" si="1"/>
        <v>0</v>
      </c>
      <c r="N17" s="19"/>
      <c r="O17" s="20"/>
      <c r="P17" s="20"/>
      <c r="Q17" s="21"/>
      <c r="R17" s="11"/>
      <c r="T17" s="1"/>
      <c r="U17" s="1"/>
      <c r="V17" s="72" t="s">
        <v>26</v>
      </c>
      <c r="W17" s="73"/>
      <c r="X17" s="26">
        <f>SUM(X4:X16)</f>
        <v>4.7300000000000004</v>
      </c>
      <c r="Z17" s="1"/>
      <c r="AA17" s="1"/>
      <c r="AB17" s="72" t="s">
        <v>26</v>
      </c>
      <c r="AC17" s="73"/>
      <c r="AD17" s="26">
        <f>SUM(AD4:AD16)</f>
        <v>6.32</v>
      </c>
      <c r="AF17" s="1"/>
      <c r="AG17" s="1"/>
      <c r="AH17" s="72" t="s">
        <v>26</v>
      </c>
      <c r="AI17" s="73"/>
      <c r="AJ17" s="26">
        <f>SUM(AJ4:AJ16)</f>
        <v>4.5575000000000001</v>
      </c>
      <c r="AL17" s="1"/>
      <c r="AM17" s="1"/>
      <c r="AN17" s="72" t="s">
        <v>26</v>
      </c>
      <c r="AO17" s="73"/>
      <c r="AP17" s="26">
        <f>SUM(AP4:AP16)</f>
        <v>4.4585399999999993</v>
      </c>
    </row>
    <row r="18" spans="2:42" ht="15" thickBot="1" x14ac:dyDescent="0.35">
      <c r="B18" s="19"/>
      <c r="C18" s="20"/>
      <c r="D18" s="20"/>
      <c r="E18" s="21"/>
      <c r="F18" s="11">
        <f t="shared" si="0"/>
        <v>0</v>
      </c>
      <c r="H18" s="19"/>
      <c r="I18" s="20"/>
      <c r="J18" s="20"/>
      <c r="K18" s="21"/>
      <c r="L18" s="11">
        <f t="shared" si="1"/>
        <v>0</v>
      </c>
      <c r="N18" s="19"/>
      <c r="O18" s="20"/>
      <c r="P18" s="20"/>
      <c r="Q18" s="21"/>
      <c r="R18" s="11"/>
      <c r="T18" s="40" t="s">
        <v>316</v>
      </c>
      <c r="U18" s="1"/>
      <c r="V18" s="72" t="s">
        <v>27</v>
      </c>
      <c r="W18" s="73"/>
      <c r="X18" s="26">
        <f>+X17*1.145</f>
        <v>5.4158500000000007</v>
      </c>
      <c r="Z18" s="1"/>
      <c r="AA18" s="1"/>
      <c r="AB18" s="72" t="s">
        <v>27</v>
      </c>
      <c r="AC18" s="73"/>
      <c r="AD18" s="26">
        <f>+AD17*1.145</f>
        <v>7.2364000000000006</v>
      </c>
      <c r="AF18" s="1"/>
      <c r="AG18" s="1"/>
      <c r="AH18" s="72" t="s">
        <v>27</v>
      </c>
      <c r="AI18" s="73"/>
      <c r="AJ18" s="26">
        <f>+AJ17*1.145</f>
        <v>5.2183375000000005</v>
      </c>
      <c r="AL18" s="1"/>
      <c r="AM18" s="1"/>
      <c r="AN18" s="72" t="s">
        <v>27</v>
      </c>
      <c r="AO18" s="73"/>
      <c r="AP18" s="26">
        <f>+AP17*1.145</f>
        <v>5.105028299999999</v>
      </c>
    </row>
    <row r="19" spans="2:42" ht="15" thickBot="1" x14ac:dyDescent="0.35">
      <c r="B19" s="22"/>
      <c r="C19" s="23"/>
      <c r="D19" s="23"/>
      <c r="E19" s="24"/>
      <c r="F19" s="25"/>
      <c r="H19" s="22"/>
      <c r="I19" s="23"/>
      <c r="J19" s="23"/>
      <c r="K19" s="24"/>
      <c r="L19" s="25"/>
      <c r="N19" s="22"/>
      <c r="O19" s="23"/>
      <c r="P19" s="23"/>
      <c r="Q19" s="24"/>
      <c r="R19" s="25"/>
      <c r="T19" s="1"/>
      <c r="U19" s="1"/>
      <c r="V19" s="72" t="s">
        <v>28</v>
      </c>
      <c r="W19" s="73"/>
      <c r="X19" s="26">
        <v>20</v>
      </c>
      <c r="Z19" s="1"/>
      <c r="AA19" s="1"/>
      <c r="AB19" s="72" t="s">
        <v>28</v>
      </c>
      <c r="AC19" s="73"/>
      <c r="AD19" s="26">
        <v>28</v>
      </c>
      <c r="AF19" s="1"/>
      <c r="AG19" s="1"/>
      <c r="AH19" s="72" t="s">
        <v>28</v>
      </c>
      <c r="AI19" s="73"/>
      <c r="AJ19" s="26">
        <v>30</v>
      </c>
      <c r="AL19" s="1"/>
      <c r="AM19" s="1"/>
      <c r="AN19" s="72" t="s">
        <v>28</v>
      </c>
      <c r="AO19" s="73"/>
      <c r="AP19" s="26">
        <v>20</v>
      </c>
    </row>
    <row r="20" spans="2:42" ht="15" thickBot="1" x14ac:dyDescent="0.35">
      <c r="B20" s="1"/>
      <c r="C20" s="1"/>
      <c r="D20" s="72" t="s">
        <v>26</v>
      </c>
      <c r="E20" s="73"/>
      <c r="F20" s="26">
        <f>SUM(F4:F19)</f>
        <v>4.3193000000000001</v>
      </c>
      <c r="H20" s="1"/>
      <c r="I20" s="1"/>
      <c r="J20" s="72" t="s">
        <v>26</v>
      </c>
      <c r="K20" s="73"/>
      <c r="L20" s="26">
        <f>SUM(L4:L19)</f>
        <v>4.1202199999999998</v>
      </c>
      <c r="N20" s="1"/>
      <c r="O20" s="1"/>
      <c r="P20" s="72" t="s">
        <v>26</v>
      </c>
      <c r="Q20" s="73"/>
      <c r="R20" s="26">
        <f>SUM(R4:R19)</f>
        <v>4.5740000000000007</v>
      </c>
      <c r="T20" s="1"/>
      <c r="U20" s="1"/>
      <c r="V20" s="72" t="s">
        <v>29</v>
      </c>
      <c r="W20" s="74"/>
      <c r="X20" s="27">
        <f>X18/X19*100</f>
        <v>27.079250000000005</v>
      </c>
      <c r="Z20" s="1"/>
      <c r="AA20" s="1"/>
      <c r="AB20" s="72" t="s">
        <v>29</v>
      </c>
      <c r="AC20" s="74"/>
      <c r="AD20" s="27">
        <f>AD18/AD19*100</f>
        <v>25.844285714285714</v>
      </c>
      <c r="AF20" s="1"/>
      <c r="AG20" s="1"/>
      <c r="AH20" s="72" t="s">
        <v>29</v>
      </c>
      <c r="AI20" s="74"/>
      <c r="AJ20" s="27">
        <f>AJ18/AJ19*100</f>
        <v>17.394458333333336</v>
      </c>
      <c r="AL20" s="1"/>
      <c r="AM20" s="1"/>
      <c r="AN20" s="72" t="s">
        <v>29</v>
      </c>
      <c r="AO20" s="74"/>
      <c r="AP20" s="27">
        <f>AP18/AP19*100</f>
        <v>25.525141499999993</v>
      </c>
    </row>
    <row r="21" spans="2:42" ht="15" thickBot="1" x14ac:dyDescent="0.35">
      <c r="B21" s="1"/>
      <c r="C21" s="1"/>
      <c r="D21" s="72" t="s">
        <v>27</v>
      </c>
      <c r="E21" s="73"/>
      <c r="F21" s="26">
        <f>+F20*1.145</f>
        <v>4.9455985</v>
      </c>
      <c r="H21" s="1"/>
      <c r="I21" s="1"/>
      <c r="J21" s="72" t="s">
        <v>27</v>
      </c>
      <c r="K21" s="73"/>
      <c r="L21" s="26">
        <f>+L20*1.145</f>
        <v>4.7176518999999999</v>
      </c>
      <c r="N21" s="1"/>
      <c r="O21" s="1"/>
      <c r="P21" s="72" t="s">
        <v>27</v>
      </c>
      <c r="Q21" s="73"/>
      <c r="R21" s="26">
        <f>+R20*1.145</f>
        <v>5.2372300000000012</v>
      </c>
      <c r="T21" s="1"/>
      <c r="U21" s="1"/>
      <c r="V21" s="1"/>
      <c r="W21" s="28" t="s">
        <v>30</v>
      </c>
      <c r="X21" s="16">
        <f>100-X20</f>
        <v>72.920749999999998</v>
      </c>
      <c r="Z21" s="1"/>
      <c r="AA21" s="1"/>
      <c r="AB21" s="1"/>
      <c r="AC21" s="28" t="s">
        <v>30</v>
      </c>
      <c r="AD21" s="16">
        <f>100-AD20</f>
        <v>74.155714285714282</v>
      </c>
      <c r="AF21" s="1"/>
      <c r="AG21" s="1"/>
      <c r="AH21" s="1"/>
      <c r="AI21" s="28" t="s">
        <v>30</v>
      </c>
      <c r="AJ21" s="16">
        <f>100-AJ20</f>
        <v>82.605541666666667</v>
      </c>
      <c r="AL21" s="1"/>
      <c r="AM21" s="1"/>
      <c r="AN21" s="1"/>
      <c r="AO21" s="28" t="s">
        <v>30</v>
      </c>
      <c r="AP21" s="16">
        <f>100-AP20</f>
        <v>74.474858500000011</v>
      </c>
    </row>
    <row r="22" spans="2:42" ht="15" thickBot="1" x14ac:dyDescent="0.35">
      <c r="B22" s="1"/>
      <c r="C22" s="1"/>
      <c r="D22" s="72" t="s">
        <v>28</v>
      </c>
      <c r="E22" s="73"/>
      <c r="F22" s="26">
        <v>18</v>
      </c>
      <c r="H22" s="1"/>
      <c r="I22" s="1"/>
      <c r="J22" s="72" t="s">
        <v>28</v>
      </c>
      <c r="K22" s="73"/>
      <c r="L22" s="26">
        <v>21</v>
      </c>
      <c r="N22" s="1"/>
      <c r="O22" s="1"/>
      <c r="P22" s="72" t="s">
        <v>28</v>
      </c>
      <c r="Q22" s="73"/>
      <c r="R22" s="26">
        <v>20</v>
      </c>
    </row>
    <row r="23" spans="2:42" ht="15" thickBot="1" x14ac:dyDescent="0.35">
      <c r="B23" s="1"/>
      <c r="C23" s="1"/>
      <c r="D23" s="72" t="s">
        <v>29</v>
      </c>
      <c r="E23" s="74"/>
      <c r="F23" s="27">
        <f>F21/F22*100</f>
        <v>27.475547222222225</v>
      </c>
      <c r="H23" s="1"/>
      <c r="I23" s="1"/>
      <c r="J23" s="72" t="s">
        <v>29</v>
      </c>
      <c r="K23" s="74"/>
      <c r="L23" s="27">
        <f>L21/L22*100</f>
        <v>22.465009047619048</v>
      </c>
      <c r="N23" s="1"/>
      <c r="O23" s="1"/>
      <c r="P23" s="72" t="s">
        <v>29</v>
      </c>
      <c r="Q23" s="74"/>
      <c r="R23" s="27">
        <f>R21/R22*100</f>
        <v>26.186150000000008</v>
      </c>
    </row>
    <row r="24" spans="2:42" x14ac:dyDescent="0.3">
      <c r="B24" s="1"/>
      <c r="C24" s="1"/>
      <c r="D24" s="1"/>
      <c r="E24" s="28" t="s">
        <v>30</v>
      </c>
      <c r="F24" s="16">
        <f>100-F23</f>
        <v>72.524452777777782</v>
      </c>
      <c r="H24" s="1"/>
      <c r="I24" s="1"/>
      <c r="J24" s="1"/>
      <c r="K24" s="28" t="s">
        <v>30</v>
      </c>
      <c r="L24" s="16">
        <f>100-L23</f>
        <v>77.534990952380952</v>
      </c>
      <c r="N24" s="1"/>
      <c r="O24" s="1"/>
      <c r="P24" s="1"/>
      <c r="Q24" s="28" t="s">
        <v>30</v>
      </c>
      <c r="R24" s="16">
        <f>100-R23</f>
        <v>73.813849999999988</v>
      </c>
    </row>
  </sheetData>
  <mergeCells count="35">
    <mergeCell ref="AL2:AP2"/>
    <mergeCell ref="AN17:AO17"/>
    <mergeCell ref="AN18:AO18"/>
    <mergeCell ref="AN19:AO19"/>
    <mergeCell ref="AN20:AO20"/>
    <mergeCell ref="H2:L2"/>
    <mergeCell ref="J20:K20"/>
    <mergeCell ref="J21:K21"/>
    <mergeCell ref="J22:K22"/>
    <mergeCell ref="J23:K23"/>
    <mergeCell ref="B2:F2"/>
    <mergeCell ref="D20:E20"/>
    <mergeCell ref="D21:E21"/>
    <mergeCell ref="D22:E22"/>
    <mergeCell ref="D23:E23"/>
    <mergeCell ref="T2:X2"/>
    <mergeCell ref="V17:W17"/>
    <mergeCell ref="V18:W18"/>
    <mergeCell ref="V19:W19"/>
    <mergeCell ref="V20:W20"/>
    <mergeCell ref="N2:R2"/>
    <mergeCell ref="P20:Q20"/>
    <mergeCell ref="P21:Q21"/>
    <mergeCell ref="P22:Q22"/>
    <mergeCell ref="P23:Q23"/>
    <mergeCell ref="AF2:AJ2"/>
    <mergeCell ref="AH17:AI17"/>
    <mergeCell ref="AH18:AI18"/>
    <mergeCell ref="AH19:AI19"/>
    <mergeCell ref="AH20:AI20"/>
    <mergeCell ref="Z2:AD2"/>
    <mergeCell ref="AB17:AC17"/>
    <mergeCell ref="AB18:AC18"/>
    <mergeCell ref="AB19:AC19"/>
    <mergeCell ref="AB20:AC20"/>
  </mergeCells>
  <conditionalFormatting sqref="F23">
    <cfRule type="cellIs" dxfId="52" priority="7" operator="lessThan">
      <formula>0.65</formula>
    </cfRule>
  </conditionalFormatting>
  <conditionalFormatting sqref="L23">
    <cfRule type="cellIs" dxfId="51" priority="6" operator="lessThan">
      <formula>0.65</formula>
    </cfRule>
  </conditionalFormatting>
  <conditionalFormatting sqref="R23">
    <cfRule type="cellIs" dxfId="50" priority="5" operator="lessThan">
      <formula>0.65</formula>
    </cfRule>
  </conditionalFormatting>
  <conditionalFormatting sqref="X20">
    <cfRule type="cellIs" dxfId="49" priority="4" operator="lessThan">
      <formula>0.65</formula>
    </cfRule>
  </conditionalFormatting>
  <conditionalFormatting sqref="AD20">
    <cfRule type="cellIs" dxfId="48" priority="3" operator="lessThan">
      <formula>0.65</formula>
    </cfRule>
  </conditionalFormatting>
  <conditionalFormatting sqref="AJ20">
    <cfRule type="cellIs" dxfId="47" priority="2" operator="lessThan">
      <formula>0.65</formula>
    </cfRule>
  </conditionalFormatting>
  <conditionalFormatting sqref="AP20">
    <cfRule type="cellIs" dxfId="46" priority="1" operator="lessThan">
      <formula>0.65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1B061-0DB2-4CD9-AA8B-61E778043F9C}">
  <dimension ref="A1:CQ98"/>
  <sheetViews>
    <sheetView tabSelected="1" topLeftCell="H1" workbookViewId="0">
      <selection activeCell="S2" sqref="S2:W21"/>
    </sheetView>
  </sheetViews>
  <sheetFormatPr defaultRowHeight="14.4" x14ac:dyDescent="0.3"/>
  <cols>
    <col min="1" max="1" width="17.88671875" customWidth="1"/>
    <col min="8" max="8" width="17" customWidth="1"/>
    <col min="20" max="21" width="16.5546875" customWidth="1"/>
    <col min="25" max="25" width="14.109375" customWidth="1"/>
    <col min="26" max="26" width="13.5546875" customWidth="1"/>
    <col min="37" max="37" width="16.109375" customWidth="1"/>
    <col min="49" max="49" width="15.88671875" customWidth="1"/>
    <col min="67" max="67" width="22" customWidth="1"/>
    <col min="71" max="71" width="21.109375" bestFit="1" customWidth="1"/>
  </cols>
  <sheetData>
    <row r="1" spans="1:95" ht="15" thickBot="1" x14ac:dyDescent="0.35"/>
    <row r="2" spans="1:95" ht="15" thickBot="1" x14ac:dyDescent="0.35">
      <c r="A2" s="69" t="s">
        <v>420</v>
      </c>
      <c r="B2" s="70"/>
      <c r="C2" s="70"/>
      <c r="D2" s="70"/>
      <c r="E2" s="71"/>
      <c r="G2" s="69" t="s">
        <v>112</v>
      </c>
      <c r="H2" s="70"/>
      <c r="I2" s="70"/>
      <c r="J2" s="70"/>
      <c r="K2" s="71"/>
      <c r="M2" s="69" t="s">
        <v>110</v>
      </c>
      <c r="N2" s="70"/>
      <c r="O2" s="70"/>
      <c r="P2" s="70"/>
      <c r="Q2" s="71"/>
      <c r="S2" s="69" t="s">
        <v>337</v>
      </c>
      <c r="T2" s="70"/>
      <c r="U2" s="70"/>
      <c r="V2" s="70"/>
      <c r="W2" s="71"/>
      <c r="Y2" s="69" t="s">
        <v>113</v>
      </c>
      <c r="Z2" s="70"/>
      <c r="AA2" s="70"/>
      <c r="AB2" s="70"/>
      <c r="AC2" s="71"/>
      <c r="AE2" s="69" t="s">
        <v>170</v>
      </c>
      <c r="AF2" s="70"/>
      <c r="AG2" s="70"/>
      <c r="AH2" s="70"/>
      <c r="AI2" s="71"/>
      <c r="AK2" s="69" t="s">
        <v>244</v>
      </c>
      <c r="AL2" s="70"/>
      <c r="AM2" s="70"/>
      <c r="AN2" s="70"/>
      <c r="AO2" s="71"/>
      <c r="AQ2" s="69" t="s">
        <v>339</v>
      </c>
      <c r="AR2" s="70"/>
      <c r="AS2" s="70"/>
      <c r="AT2" s="70"/>
      <c r="AU2" s="71"/>
      <c r="AW2" s="69" t="s">
        <v>115</v>
      </c>
      <c r="AX2" s="70"/>
      <c r="AY2" s="70"/>
      <c r="AZ2" s="70"/>
      <c r="BA2" s="71"/>
      <c r="BI2" s="69" t="s">
        <v>345</v>
      </c>
      <c r="BJ2" s="70"/>
      <c r="BK2" s="70"/>
      <c r="BL2" s="70"/>
      <c r="BM2" s="71"/>
      <c r="BO2" s="69" t="s">
        <v>346</v>
      </c>
      <c r="BP2" s="70"/>
      <c r="BQ2" s="70"/>
      <c r="BR2" s="70"/>
      <c r="BS2" s="71"/>
      <c r="BU2" s="69" t="s">
        <v>259</v>
      </c>
      <c r="BV2" s="70"/>
      <c r="BW2" s="70"/>
      <c r="BX2" s="70"/>
      <c r="BY2" s="71"/>
      <c r="CA2" s="69" t="s">
        <v>364</v>
      </c>
      <c r="CB2" s="70"/>
      <c r="CC2" s="70"/>
      <c r="CD2" s="70"/>
      <c r="CE2" s="71"/>
      <c r="CG2" s="69" t="s">
        <v>350</v>
      </c>
      <c r="CH2" s="70"/>
      <c r="CI2" s="70"/>
      <c r="CJ2" s="70"/>
      <c r="CK2" s="71"/>
      <c r="CM2" s="69" t="s">
        <v>355</v>
      </c>
      <c r="CN2" s="70"/>
      <c r="CO2" s="70"/>
      <c r="CP2" s="70"/>
      <c r="CQ2" s="71"/>
    </row>
    <row r="3" spans="1:95" ht="15" thickBot="1" x14ac:dyDescent="0.35">
      <c r="A3" s="2" t="s">
        <v>3</v>
      </c>
      <c r="B3" s="3" t="s">
        <v>4</v>
      </c>
      <c r="C3" s="3" t="s">
        <v>5</v>
      </c>
      <c r="D3" s="4" t="s">
        <v>6</v>
      </c>
      <c r="E3" s="5" t="s">
        <v>7</v>
      </c>
      <c r="G3" s="2" t="s">
        <v>3</v>
      </c>
      <c r="H3" s="3" t="s">
        <v>4</v>
      </c>
      <c r="I3" s="3" t="s">
        <v>5</v>
      </c>
      <c r="J3" s="4" t="s">
        <v>6</v>
      </c>
      <c r="K3" s="5" t="s">
        <v>7</v>
      </c>
      <c r="M3" s="2" t="s">
        <v>3</v>
      </c>
      <c r="N3" s="3" t="s">
        <v>4</v>
      </c>
      <c r="O3" s="3" t="s">
        <v>5</v>
      </c>
      <c r="P3" s="4" t="s">
        <v>6</v>
      </c>
      <c r="Q3" s="5" t="s">
        <v>7</v>
      </c>
      <c r="S3" s="2" t="s">
        <v>3</v>
      </c>
      <c r="T3" s="3" t="s">
        <v>4</v>
      </c>
      <c r="U3" s="3" t="s">
        <v>5</v>
      </c>
      <c r="V3" s="4" t="s">
        <v>6</v>
      </c>
      <c r="W3" s="5" t="s">
        <v>7</v>
      </c>
      <c r="Y3" s="2" t="s">
        <v>3</v>
      </c>
      <c r="Z3" s="3" t="s">
        <v>4</v>
      </c>
      <c r="AA3" s="3" t="s">
        <v>5</v>
      </c>
      <c r="AB3" s="4" t="s">
        <v>6</v>
      </c>
      <c r="AC3" s="5" t="s">
        <v>7</v>
      </c>
      <c r="AE3" s="2" t="s">
        <v>3</v>
      </c>
      <c r="AF3" s="3" t="s">
        <v>4</v>
      </c>
      <c r="AG3" s="3" t="s">
        <v>5</v>
      </c>
      <c r="AH3" s="4" t="s">
        <v>6</v>
      </c>
      <c r="AI3" s="5" t="s">
        <v>7</v>
      </c>
      <c r="AK3" s="2" t="s">
        <v>3</v>
      </c>
      <c r="AL3" s="3" t="s">
        <v>4</v>
      </c>
      <c r="AM3" s="3" t="s">
        <v>5</v>
      </c>
      <c r="AN3" s="4" t="s">
        <v>6</v>
      </c>
      <c r="AO3" s="5"/>
      <c r="AQ3" s="2" t="s">
        <v>3</v>
      </c>
      <c r="AR3" s="3" t="s">
        <v>4</v>
      </c>
      <c r="AS3" s="3" t="s">
        <v>5</v>
      </c>
      <c r="AT3" s="4" t="s">
        <v>6</v>
      </c>
      <c r="AU3" s="5" t="s">
        <v>7</v>
      </c>
      <c r="AW3" s="2" t="s">
        <v>3</v>
      </c>
      <c r="AX3" s="3" t="s">
        <v>4</v>
      </c>
      <c r="AY3" s="3" t="s">
        <v>5</v>
      </c>
      <c r="AZ3" s="4" t="s">
        <v>6</v>
      </c>
      <c r="BA3" s="5" t="s">
        <v>7</v>
      </c>
      <c r="BI3" s="2" t="s">
        <v>3</v>
      </c>
      <c r="BJ3" s="3" t="s">
        <v>4</v>
      </c>
      <c r="BK3" s="3" t="s">
        <v>5</v>
      </c>
      <c r="BL3" s="4" t="s">
        <v>6</v>
      </c>
      <c r="BM3" s="5" t="s">
        <v>7</v>
      </c>
      <c r="BO3" s="2" t="s">
        <v>3</v>
      </c>
      <c r="BP3" s="3" t="s">
        <v>4</v>
      </c>
      <c r="BQ3" s="3" t="s">
        <v>5</v>
      </c>
      <c r="BR3" s="4" t="s">
        <v>6</v>
      </c>
      <c r="BS3" s="5" t="s">
        <v>7</v>
      </c>
      <c r="BU3" s="2" t="s">
        <v>3</v>
      </c>
      <c r="BV3" s="3" t="s">
        <v>4</v>
      </c>
      <c r="BW3" s="3" t="s">
        <v>5</v>
      </c>
      <c r="BX3" s="4" t="s">
        <v>6</v>
      </c>
      <c r="BY3" s="5" t="s">
        <v>7</v>
      </c>
      <c r="CA3" s="2" t="s">
        <v>3</v>
      </c>
      <c r="CB3" s="3" t="s">
        <v>4</v>
      </c>
      <c r="CC3" s="3" t="s">
        <v>5</v>
      </c>
      <c r="CD3" s="4" t="s">
        <v>6</v>
      </c>
      <c r="CE3" s="5" t="s">
        <v>7</v>
      </c>
      <c r="CG3" s="2" t="s">
        <v>3</v>
      </c>
      <c r="CH3" s="3" t="s">
        <v>4</v>
      </c>
      <c r="CI3" s="3" t="s">
        <v>5</v>
      </c>
      <c r="CJ3" s="4" t="s">
        <v>6</v>
      </c>
      <c r="CK3" s="5" t="s">
        <v>7</v>
      </c>
      <c r="CM3" s="2" t="s">
        <v>317</v>
      </c>
      <c r="CN3" s="3" t="s">
        <v>4</v>
      </c>
      <c r="CO3" s="3" t="s">
        <v>5</v>
      </c>
      <c r="CP3" s="4" t="s">
        <v>6</v>
      </c>
      <c r="CQ3" s="5" t="s">
        <v>7</v>
      </c>
    </row>
    <row r="4" spans="1:95" ht="15" thickBot="1" x14ac:dyDescent="0.35">
      <c r="A4" s="7" t="s">
        <v>91</v>
      </c>
      <c r="B4" s="8" t="s">
        <v>34</v>
      </c>
      <c r="C4" s="9">
        <v>0.15</v>
      </c>
      <c r="D4" s="10">
        <v>2</v>
      </c>
      <c r="E4" s="11">
        <f t="shared" ref="E4:E18" si="0">+D4*C4</f>
        <v>0.3</v>
      </c>
      <c r="G4" s="7" t="s">
        <v>120</v>
      </c>
      <c r="H4" s="8" t="s">
        <v>34</v>
      </c>
      <c r="I4" s="9">
        <v>1</v>
      </c>
      <c r="J4" s="10">
        <v>1</v>
      </c>
      <c r="K4" s="11">
        <v>0.5</v>
      </c>
      <c r="M4" s="7" t="s">
        <v>91</v>
      </c>
      <c r="N4" s="8" t="s">
        <v>34</v>
      </c>
      <c r="O4" s="9">
        <v>0.15</v>
      </c>
      <c r="P4" s="10">
        <v>3</v>
      </c>
      <c r="Q4" s="11">
        <f t="shared" ref="Q4:Q16" si="1">+P4*O4</f>
        <v>0.44999999999999996</v>
      </c>
      <c r="S4" s="7" t="s">
        <v>338</v>
      </c>
      <c r="T4" s="8" t="s">
        <v>34</v>
      </c>
      <c r="U4" s="9">
        <v>5.2</v>
      </c>
      <c r="V4" s="10">
        <v>0.25</v>
      </c>
      <c r="W4" s="11">
        <f t="shared" ref="W4:W14" si="2">+V4*U4</f>
        <v>1.3</v>
      </c>
      <c r="Y4" s="7" t="s">
        <v>122</v>
      </c>
      <c r="Z4" s="8" t="s">
        <v>34</v>
      </c>
      <c r="AA4" s="9">
        <v>11.5</v>
      </c>
      <c r="AB4" s="10">
        <v>0.15</v>
      </c>
      <c r="AC4" s="11">
        <f t="shared" ref="AC4:AC18" si="3">+AB4*AA4</f>
        <v>1.7249999999999999</v>
      </c>
      <c r="AE4" s="15" t="s">
        <v>170</v>
      </c>
      <c r="AF4" s="16" t="s">
        <v>11</v>
      </c>
      <c r="AG4" s="17">
        <v>1.8</v>
      </c>
      <c r="AH4" s="18">
        <v>0.25</v>
      </c>
      <c r="AI4" s="11">
        <f t="shared" ref="AI4" si="4">+AH4*AG4</f>
        <v>0.45</v>
      </c>
      <c r="AK4" s="7" t="s">
        <v>244</v>
      </c>
      <c r="AL4" s="8" t="s">
        <v>34</v>
      </c>
      <c r="AM4" s="9">
        <v>28</v>
      </c>
      <c r="AN4" s="10">
        <v>0.2</v>
      </c>
      <c r="AO4" s="11">
        <f t="shared" ref="AO4:AO18" si="5">+AN4*AM4</f>
        <v>5.6000000000000005</v>
      </c>
      <c r="AQ4" s="7" t="s">
        <v>124</v>
      </c>
      <c r="AR4" s="8" t="s">
        <v>34</v>
      </c>
      <c r="AS4" s="9">
        <v>17.5</v>
      </c>
      <c r="AT4" s="10">
        <v>0.08</v>
      </c>
      <c r="AU4" s="11">
        <f t="shared" ref="AU4:AU18" si="6">+AT4*AS4</f>
        <v>1.4000000000000001</v>
      </c>
      <c r="AW4" s="7" t="s">
        <v>278</v>
      </c>
      <c r="AX4" s="8" t="s">
        <v>34</v>
      </c>
      <c r="AY4" s="9">
        <v>17.5</v>
      </c>
      <c r="AZ4" s="10">
        <v>0.28000000000000003</v>
      </c>
      <c r="BA4" s="11">
        <f t="shared" ref="BA4:BA18" si="7">+AZ4*AY4</f>
        <v>4.9000000000000004</v>
      </c>
      <c r="BC4" s="48"/>
      <c r="BD4" s="49" t="s">
        <v>374</v>
      </c>
      <c r="BE4" s="49"/>
      <c r="BF4" s="49"/>
      <c r="BG4" s="50"/>
      <c r="BI4" s="7" t="s">
        <v>341</v>
      </c>
      <c r="BJ4" s="8"/>
      <c r="BK4" s="9">
        <v>4.0999999999999996</v>
      </c>
      <c r="BL4" s="10">
        <v>0.2</v>
      </c>
      <c r="BM4" s="11">
        <f t="shared" ref="BM4:BM12" si="8">+BL4*BK4</f>
        <v>0.82</v>
      </c>
      <c r="BO4" s="7" t="s">
        <v>346</v>
      </c>
      <c r="BP4" s="8"/>
      <c r="BQ4" s="9">
        <v>1.7</v>
      </c>
      <c r="BR4" s="10">
        <v>0.2</v>
      </c>
      <c r="BS4" s="11">
        <f t="shared" ref="BS4:BS13" si="9">+BR4*BQ4</f>
        <v>0.34</v>
      </c>
      <c r="BU4" s="7" t="s">
        <v>124</v>
      </c>
      <c r="BV4" s="8" t="s">
        <v>34</v>
      </c>
      <c r="BW4" s="9">
        <v>17.5</v>
      </c>
      <c r="BX4" s="10">
        <v>0.1</v>
      </c>
      <c r="BY4" s="11">
        <f t="shared" ref="BY4:BY18" si="10">+BX4*BW4</f>
        <v>1.75</v>
      </c>
      <c r="CA4" s="7" t="s">
        <v>365</v>
      </c>
      <c r="CB4" s="8"/>
      <c r="CC4" s="9">
        <v>1</v>
      </c>
      <c r="CD4" s="10">
        <v>1</v>
      </c>
      <c r="CE4" s="11">
        <f t="shared" ref="CE4:CE5" si="11">+CD4*CC4</f>
        <v>1</v>
      </c>
      <c r="CG4" s="7" t="s">
        <v>56</v>
      </c>
      <c r="CH4" s="8"/>
      <c r="CI4" s="9">
        <v>1</v>
      </c>
      <c r="CJ4" s="10">
        <v>1</v>
      </c>
      <c r="CK4" s="11">
        <f t="shared" ref="CK4:CK9" si="12">+CJ4*CI4</f>
        <v>1</v>
      </c>
      <c r="CM4" s="7"/>
      <c r="CN4" s="8"/>
      <c r="CO4" s="9"/>
      <c r="CP4" s="10"/>
      <c r="CQ4" s="11"/>
    </row>
    <row r="5" spans="1:95" ht="15" thickBot="1" x14ac:dyDescent="0.35">
      <c r="A5" s="15" t="s">
        <v>127</v>
      </c>
      <c r="B5" s="16" t="s">
        <v>128</v>
      </c>
      <c r="C5" s="17">
        <v>0.1</v>
      </c>
      <c r="D5" s="18">
        <v>1</v>
      </c>
      <c r="E5" s="11">
        <f t="shared" si="0"/>
        <v>0.1</v>
      </c>
      <c r="G5" s="15" t="s">
        <v>130</v>
      </c>
      <c r="H5" s="16" t="s">
        <v>11</v>
      </c>
      <c r="I5" s="17">
        <v>18</v>
      </c>
      <c r="J5" s="18">
        <v>0.05</v>
      </c>
      <c r="K5" s="11">
        <f t="shared" ref="K5:K18" si="13">+J5*I5</f>
        <v>0.9</v>
      </c>
      <c r="M5" s="15" t="s">
        <v>127</v>
      </c>
      <c r="N5" s="16" t="s">
        <v>128</v>
      </c>
      <c r="O5" s="17">
        <v>0.1</v>
      </c>
      <c r="P5" s="18">
        <v>1</v>
      </c>
      <c r="Q5" s="11">
        <f t="shared" si="1"/>
        <v>0.1</v>
      </c>
      <c r="S5" s="15" t="s">
        <v>146</v>
      </c>
      <c r="T5" s="16" t="s">
        <v>11</v>
      </c>
      <c r="U5" s="17">
        <v>1.5</v>
      </c>
      <c r="V5" s="18">
        <v>5.0000000000000001E-3</v>
      </c>
      <c r="W5" s="11">
        <f t="shared" si="2"/>
        <v>7.4999999999999997E-3</v>
      </c>
      <c r="Y5" s="15" t="s">
        <v>131</v>
      </c>
      <c r="Z5" s="16" t="s">
        <v>128</v>
      </c>
      <c r="AA5" s="17">
        <v>0.35</v>
      </c>
      <c r="AB5" s="18">
        <v>1</v>
      </c>
      <c r="AC5" s="11">
        <f t="shared" si="3"/>
        <v>0.35</v>
      </c>
      <c r="AE5" s="19"/>
      <c r="AF5" s="20"/>
      <c r="AG5" s="20"/>
      <c r="AH5" s="21"/>
      <c r="AI5" s="11"/>
      <c r="AK5" s="15" t="s">
        <v>245</v>
      </c>
      <c r="AL5" s="16"/>
      <c r="AM5" s="17">
        <v>0.15</v>
      </c>
      <c r="AN5" s="18">
        <v>1</v>
      </c>
      <c r="AO5" s="11">
        <f t="shared" si="5"/>
        <v>0.15</v>
      </c>
      <c r="AQ5" s="15" t="s">
        <v>260</v>
      </c>
      <c r="AR5" s="16" t="s">
        <v>9</v>
      </c>
      <c r="AS5" s="17">
        <v>5</v>
      </c>
      <c r="AT5" s="18">
        <v>0.06</v>
      </c>
      <c r="AU5" s="11">
        <f t="shared" si="6"/>
        <v>0.3</v>
      </c>
      <c r="AW5" s="15"/>
      <c r="AX5" s="16"/>
      <c r="AY5" s="17"/>
      <c r="AZ5" s="18"/>
      <c r="BA5" s="11"/>
      <c r="BC5" s="45"/>
      <c r="BD5" s="10"/>
      <c r="BE5" s="47"/>
      <c r="BF5" s="10"/>
      <c r="BG5" s="11"/>
      <c r="BI5" s="15" t="s">
        <v>342</v>
      </c>
      <c r="BJ5" s="16"/>
      <c r="BK5" s="17">
        <v>9.4499999999999993</v>
      </c>
      <c r="BL5" s="18">
        <v>5.0000000000000001E-3</v>
      </c>
      <c r="BM5" s="11">
        <f t="shared" si="8"/>
        <v>4.725E-2</v>
      </c>
      <c r="BO5" s="15" t="s">
        <v>137</v>
      </c>
      <c r="BP5" s="16"/>
      <c r="BQ5" s="17">
        <v>1.2</v>
      </c>
      <c r="BR5" s="18">
        <v>0.1</v>
      </c>
      <c r="BS5" s="11">
        <f t="shared" si="9"/>
        <v>0.12</v>
      </c>
      <c r="BU5" s="15" t="s">
        <v>260</v>
      </c>
      <c r="BV5" s="16" t="s">
        <v>9</v>
      </c>
      <c r="BW5" s="17">
        <v>5</v>
      </c>
      <c r="BX5" s="18">
        <v>0</v>
      </c>
      <c r="BY5" s="11">
        <f t="shared" si="10"/>
        <v>0</v>
      </c>
      <c r="CA5" s="15" t="s">
        <v>245</v>
      </c>
      <c r="CB5" s="16"/>
      <c r="CC5" s="17">
        <v>0.15</v>
      </c>
      <c r="CD5" s="18">
        <v>1</v>
      </c>
      <c r="CE5" s="11">
        <f t="shared" si="11"/>
        <v>0.15</v>
      </c>
      <c r="CG5" s="15" t="s">
        <v>138</v>
      </c>
      <c r="CH5" s="16" t="s">
        <v>11</v>
      </c>
      <c r="CI5" s="17">
        <v>12.04</v>
      </c>
      <c r="CJ5" s="18">
        <v>0.08</v>
      </c>
      <c r="CK5" s="11">
        <f t="shared" si="12"/>
        <v>0.96319999999999995</v>
      </c>
      <c r="CM5" s="15" t="s">
        <v>45</v>
      </c>
      <c r="CN5" s="16"/>
      <c r="CO5" s="17">
        <v>1.44</v>
      </c>
      <c r="CP5" s="18">
        <v>0.5</v>
      </c>
      <c r="CQ5" s="11">
        <f t="shared" ref="CQ5:CQ7" si="14">+CP5*CO5</f>
        <v>0.72</v>
      </c>
    </row>
    <row r="6" spans="1:95" ht="15" thickBot="1" x14ac:dyDescent="0.35">
      <c r="A6" s="15" t="s">
        <v>137</v>
      </c>
      <c r="B6" s="16" t="s">
        <v>11</v>
      </c>
      <c r="C6" s="17">
        <v>1</v>
      </c>
      <c r="D6" s="18">
        <v>0.02</v>
      </c>
      <c r="E6" s="11">
        <f t="shared" si="0"/>
        <v>0.02</v>
      </c>
      <c r="G6" s="15" t="s">
        <v>132</v>
      </c>
      <c r="H6" s="16" t="s">
        <v>128</v>
      </c>
      <c r="I6" s="17">
        <v>0.15</v>
      </c>
      <c r="J6" s="18">
        <v>2</v>
      </c>
      <c r="K6" s="11">
        <f t="shared" si="13"/>
        <v>0.3</v>
      </c>
      <c r="M6" s="15" t="s">
        <v>138</v>
      </c>
      <c r="N6" s="16" t="s">
        <v>11</v>
      </c>
      <c r="O6" s="17">
        <v>12.04</v>
      </c>
      <c r="P6" s="18">
        <v>0.03</v>
      </c>
      <c r="Q6" s="11">
        <f t="shared" si="1"/>
        <v>0.36119999999999997</v>
      </c>
      <c r="S6" s="15" t="s">
        <v>155</v>
      </c>
      <c r="T6" s="16" t="s">
        <v>11</v>
      </c>
      <c r="U6" s="17">
        <v>1</v>
      </c>
      <c r="V6" s="18">
        <v>5.0000000000000001E-3</v>
      </c>
      <c r="W6" s="11">
        <f t="shared" si="2"/>
        <v>5.0000000000000001E-3</v>
      </c>
      <c r="Y6" s="15" t="s">
        <v>141</v>
      </c>
      <c r="Z6" s="16" t="s">
        <v>34</v>
      </c>
      <c r="AA6" s="17">
        <v>0.6</v>
      </c>
      <c r="AB6" s="18">
        <v>0.1</v>
      </c>
      <c r="AC6" s="11">
        <f t="shared" si="3"/>
        <v>0.06</v>
      </c>
      <c r="AE6" s="22"/>
      <c r="AF6" s="23"/>
      <c r="AG6" s="23"/>
      <c r="AH6" s="24"/>
      <c r="AI6" s="25"/>
      <c r="AK6" s="15" t="s">
        <v>156</v>
      </c>
      <c r="AL6" s="16"/>
      <c r="AM6" s="17">
        <v>1.8</v>
      </c>
      <c r="AN6" s="18">
        <v>0.01</v>
      </c>
      <c r="AO6" s="11">
        <f t="shared" si="5"/>
        <v>1.8000000000000002E-2</v>
      </c>
      <c r="AQ6" s="15" t="s">
        <v>261</v>
      </c>
      <c r="AR6" s="16" t="s">
        <v>9</v>
      </c>
      <c r="AS6" s="17">
        <v>2.25</v>
      </c>
      <c r="AT6" s="18">
        <v>0.04</v>
      </c>
      <c r="AU6" s="11">
        <f t="shared" si="6"/>
        <v>0.09</v>
      </c>
      <c r="AW6" s="15" t="s">
        <v>142</v>
      </c>
      <c r="AX6" s="16" t="s">
        <v>9</v>
      </c>
      <c r="AY6" s="17">
        <v>0.15</v>
      </c>
      <c r="AZ6" s="18">
        <v>0.25</v>
      </c>
      <c r="BA6" s="11">
        <f t="shared" si="7"/>
        <v>3.7499999999999999E-2</v>
      </c>
      <c r="BC6" s="33" t="s">
        <v>111</v>
      </c>
      <c r="BD6" s="34" t="s">
        <v>34</v>
      </c>
      <c r="BE6" s="35">
        <v>2.12</v>
      </c>
      <c r="BF6" s="34">
        <v>0.11</v>
      </c>
      <c r="BG6" s="36">
        <f>+BF6*BE6</f>
        <v>0.23320000000000002</v>
      </c>
      <c r="BI6" s="15" t="s">
        <v>343</v>
      </c>
      <c r="BJ6" s="16"/>
      <c r="BK6" s="17">
        <v>12.08</v>
      </c>
      <c r="BL6" s="18">
        <v>5.0000000000000001E-3</v>
      </c>
      <c r="BM6" s="11">
        <f t="shared" si="8"/>
        <v>6.0400000000000002E-2</v>
      </c>
      <c r="BO6" s="15" t="s">
        <v>347</v>
      </c>
      <c r="BP6" s="16"/>
      <c r="BQ6" s="17">
        <v>1</v>
      </c>
      <c r="BR6" s="18">
        <v>0.5</v>
      </c>
      <c r="BS6" s="11">
        <f t="shared" si="9"/>
        <v>0.5</v>
      </c>
      <c r="BU6" s="15" t="s">
        <v>261</v>
      </c>
      <c r="BV6" s="16" t="s">
        <v>9</v>
      </c>
      <c r="BW6" s="17">
        <v>2.25</v>
      </c>
      <c r="BX6" s="18">
        <v>0.04</v>
      </c>
      <c r="BY6" s="11">
        <f t="shared" si="10"/>
        <v>0.09</v>
      </c>
      <c r="CA6" s="15" t="s">
        <v>155</v>
      </c>
      <c r="CB6" s="16"/>
      <c r="CC6" s="17">
        <v>1</v>
      </c>
      <c r="CD6" s="18">
        <v>1</v>
      </c>
      <c r="CE6" s="11">
        <v>0.02</v>
      </c>
      <c r="CG6" s="15" t="s">
        <v>155</v>
      </c>
      <c r="CH6" s="16"/>
      <c r="CI6" s="17">
        <v>1</v>
      </c>
      <c r="CJ6" s="18">
        <v>0.05</v>
      </c>
      <c r="CK6" s="11">
        <f t="shared" si="12"/>
        <v>0.05</v>
      </c>
      <c r="CM6" s="15"/>
      <c r="CN6" s="16"/>
      <c r="CO6" s="17"/>
      <c r="CP6" s="18"/>
      <c r="CQ6" s="11"/>
    </row>
    <row r="7" spans="1:95" ht="15" thickBot="1" x14ac:dyDescent="0.35">
      <c r="A7" s="15" t="s">
        <v>133</v>
      </c>
      <c r="B7" s="16" t="s">
        <v>11</v>
      </c>
      <c r="C7" s="17">
        <v>11</v>
      </c>
      <c r="D7" s="18">
        <v>0.05</v>
      </c>
      <c r="E7" s="11">
        <f t="shared" si="0"/>
        <v>0.55000000000000004</v>
      </c>
      <c r="G7" s="15" t="s">
        <v>8</v>
      </c>
      <c r="H7" s="16" t="s">
        <v>11</v>
      </c>
      <c r="I7" s="17">
        <v>8.6999999999999993</v>
      </c>
      <c r="J7" s="18">
        <v>0.02</v>
      </c>
      <c r="K7" s="11">
        <f t="shared" si="13"/>
        <v>0.17399999999999999</v>
      </c>
      <c r="M7" s="15" t="s">
        <v>144</v>
      </c>
      <c r="N7" s="16" t="s">
        <v>11</v>
      </c>
      <c r="O7" s="17">
        <v>11</v>
      </c>
      <c r="P7" s="18">
        <v>0.05</v>
      </c>
      <c r="Q7" s="11">
        <f t="shared" si="1"/>
        <v>0.55000000000000004</v>
      </c>
      <c r="S7" s="15" t="s">
        <v>161</v>
      </c>
      <c r="T7" s="16" t="s">
        <v>11</v>
      </c>
      <c r="U7" s="17">
        <v>1</v>
      </c>
      <c r="V7" s="18">
        <v>2E-3</v>
      </c>
      <c r="W7" s="11">
        <f t="shared" si="2"/>
        <v>2E-3</v>
      </c>
      <c r="Y7" s="15" t="s">
        <v>146</v>
      </c>
      <c r="Z7" s="16" t="s">
        <v>11</v>
      </c>
      <c r="AA7" s="17">
        <v>8.6999999999999993</v>
      </c>
      <c r="AB7" s="18">
        <v>0.01</v>
      </c>
      <c r="AC7" s="11">
        <f t="shared" si="3"/>
        <v>8.6999999999999994E-2</v>
      </c>
      <c r="AE7" s="1"/>
      <c r="AF7" s="1"/>
      <c r="AG7" s="72" t="s">
        <v>26</v>
      </c>
      <c r="AH7" s="73"/>
      <c r="AI7" s="26">
        <f>SUM(AI4:AI6)</f>
        <v>0.45</v>
      </c>
      <c r="AK7" s="15" t="s">
        <v>167</v>
      </c>
      <c r="AL7" s="16"/>
      <c r="AM7" s="17">
        <v>11</v>
      </c>
      <c r="AN7" s="18">
        <v>2E-3</v>
      </c>
      <c r="AO7" s="11">
        <f t="shared" si="5"/>
        <v>2.1999999999999999E-2</v>
      </c>
      <c r="AQ7" s="15" t="s">
        <v>262</v>
      </c>
      <c r="AR7" s="16" t="s">
        <v>9</v>
      </c>
      <c r="AS7" s="17">
        <v>2</v>
      </c>
      <c r="AT7" s="18">
        <v>0.08</v>
      </c>
      <c r="AU7" s="11">
        <f t="shared" si="6"/>
        <v>0.16</v>
      </c>
      <c r="AW7" s="15" t="s">
        <v>8</v>
      </c>
      <c r="AX7" s="16" t="s">
        <v>9</v>
      </c>
      <c r="AY7" s="17">
        <v>8.6999999999999993</v>
      </c>
      <c r="AZ7" s="18">
        <v>0.03</v>
      </c>
      <c r="BA7" s="11">
        <f t="shared" si="7"/>
        <v>0.26099999999999995</v>
      </c>
      <c r="BC7" s="37" t="s">
        <v>8</v>
      </c>
      <c r="BD7" s="18"/>
      <c r="BE7" s="32">
        <v>8.51</v>
      </c>
      <c r="BF7" s="18">
        <v>0.03</v>
      </c>
      <c r="BG7" s="36">
        <f>+BF7*BE7</f>
        <v>0.25529999999999997</v>
      </c>
      <c r="BI7" s="15" t="s">
        <v>344</v>
      </c>
      <c r="BJ7" s="16"/>
      <c r="BK7" s="17">
        <v>4</v>
      </c>
      <c r="BL7" s="18">
        <v>2.5000000000000001E-2</v>
      </c>
      <c r="BM7" s="11">
        <f t="shared" si="8"/>
        <v>0.1</v>
      </c>
      <c r="BO7" s="15" t="s">
        <v>348</v>
      </c>
      <c r="BP7" s="16"/>
      <c r="BQ7" s="17">
        <v>3.5</v>
      </c>
      <c r="BR7" s="18">
        <v>0.1</v>
      </c>
      <c r="BS7" s="11">
        <f t="shared" si="9"/>
        <v>0.35000000000000003</v>
      </c>
      <c r="BU7" s="15" t="s">
        <v>262</v>
      </c>
      <c r="BV7" s="16" t="s">
        <v>9</v>
      </c>
      <c r="BW7" s="17">
        <v>2</v>
      </c>
      <c r="BX7" s="18">
        <v>0.08</v>
      </c>
      <c r="BY7" s="11">
        <f t="shared" si="10"/>
        <v>0.16</v>
      </c>
      <c r="CA7" s="15" t="s">
        <v>368</v>
      </c>
      <c r="CB7" s="16"/>
      <c r="CC7" s="17"/>
      <c r="CD7" s="18"/>
      <c r="CE7" s="11">
        <v>0.25</v>
      </c>
      <c r="CG7" s="15" t="s">
        <v>24</v>
      </c>
      <c r="CH7" s="16"/>
      <c r="CI7" s="17"/>
      <c r="CJ7" s="18">
        <v>2E-3</v>
      </c>
      <c r="CK7" s="11">
        <f t="shared" si="12"/>
        <v>0</v>
      </c>
      <c r="CM7" s="15" t="s">
        <v>19</v>
      </c>
      <c r="CN7" s="16"/>
      <c r="CO7" s="17">
        <v>0.14000000000000001</v>
      </c>
      <c r="CP7" s="18">
        <v>6</v>
      </c>
      <c r="CQ7" s="11">
        <f t="shared" si="14"/>
        <v>0.84000000000000008</v>
      </c>
    </row>
    <row r="8" spans="1:95" ht="15" thickBot="1" x14ac:dyDescent="0.35">
      <c r="A8" s="15" t="s">
        <v>12</v>
      </c>
      <c r="B8" s="16" t="s">
        <v>44</v>
      </c>
      <c r="C8" s="17">
        <v>1.55</v>
      </c>
      <c r="D8" s="18">
        <v>5.0000000000000001E-3</v>
      </c>
      <c r="E8" s="11">
        <f t="shared" si="0"/>
        <v>7.7500000000000008E-3</v>
      </c>
      <c r="G8" s="15" t="s">
        <v>148</v>
      </c>
      <c r="H8" s="16" t="s">
        <v>44</v>
      </c>
      <c r="I8" s="17">
        <v>1.5</v>
      </c>
      <c r="J8" s="18">
        <v>1E-3</v>
      </c>
      <c r="K8" s="11">
        <f t="shared" si="13"/>
        <v>1.5E-3</v>
      </c>
      <c r="M8" s="15" t="s">
        <v>146</v>
      </c>
      <c r="N8" s="16" t="s">
        <v>11</v>
      </c>
      <c r="O8" s="17">
        <v>1.5</v>
      </c>
      <c r="P8" s="18">
        <v>5.0000000000000001E-3</v>
      </c>
      <c r="Q8" s="11">
        <f t="shared" si="1"/>
        <v>7.4999999999999997E-3</v>
      </c>
      <c r="S8" s="15" t="s">
        <v>140</v>
      </c>
      <c r="T8" s="16" t="s">
        <v>11</v>
      </c>
      <c r="U8" s="17">
        <v>6</v>
      </c>
      <c r="V8" s="18">
        <v>2E-3</v>
      </c>
      <c r="W8" s="11">
        <f t="shared" si="2"/>
        <v>1.2E-2</v>
      </c>
      <c r="Y8" s="15" t="s">
        <v>149</v>
      </c>
      <c r="Z8" s="16" t="s">
        <v>11</v>
      </c>
      <c r="AA8" s="17">
        <v>3.38</v>
      </c>
      <c r="AB8" s="18">
        <v>3.0000000000000001E-3</v>
      </c>
      <c r="AC8" s="11">
        <f t="shared" si="3"/>
        <v>1.014E-2</v>
      </c>
      <c r="AE8" s="1"/>
      <c r="AF8" s="1"/>
      <c r="AG8" s="72" t="s">
        <v>27</v>
      </c>
      <c r="AH8" s="73"/>
      <c r="AI8" s="26">
        <f>+AI7*1.145</f>
        <v>0.51524999999999999</v>
      </c>
      <c r="AK8" s="15" t="s">
        <v>246</v>
      </c>
      <c r="AL8" s="16"/>
      <c r="AM8" s="17">
        <v>3</v>
      </c>
      <c r="AN8" s="18">
        <v>0.2</v>
      </c>
      <c r="AO8" s="11">
        <f t="shared" si="5"/>
        <v>0.60000000000000009</v>
      </c>
      <c r="AQ8" s="15" t="s">
        <v>141</v>
      </c>
      <c r="AR8" s="16" t="s">
        <v>9</v>
      </c>
      <c r="AS8" s="17">
        <v>0.6</v>
      </c>
      <c r="AT8" s="18">
        <v>0.5</v>
      </c>
      <c r="AU8" s="11">
        <f t="shared" si="6"/>
        <v>0.3</v>
      </c>
      <c r="AW8" s="15" t="s">
        <v>151</v>
      </c>
      <c r="AX8" s="16" t="s">
        <v>9</v>
      </c>
      <c r="AY8" s="17">
        <v>0.4</v>
      </c>
      <c r="AZ8" s="18">
        <v>0.01</v>
      </c>
      <c r="BA8" s="11">
        <f t="shared" si="7"/>
        <v>4.0000000000000001E-3</v>
      </c>
      <c r="BC8" s="37"/>
      <c r="BD8" s="18"/>
      <c r="BE8" s="32"/>
      <c r="BF8" s="18"/>
      <c r="BG8" s="38"/>
      <c r="BI8" s="15"/>
      <c r="BJ8" s="16"/>
      <c r="BK8" s="17"/>
      <c r="BL8" s="18"/>
      <c r="BM8" s="11">
        <f t="shared" si="8"/>
        <v>0</v>
      </c>
      <c r="BO8" s="15" t="s">
        <v>140</v>
      </c>
      <c r="BP8" s="16"/>
      <c r="BQ8" s="17">
        <v>13</v>
      </c>
      <c r="BR8" s="18">
        <v>5.0000000000000001E-3</v>
      </c>
      <c r="BS8" s="11">
        <f t="shared" si="9"/>
        <v>6.5000000000000002E-2</v>
      </c>
      <c r="BU8" s="15" t="s">
        <v>141</v>
      </c>
      <c r="BV8" s="16" t="s">
        <v>9</v>
      </c>
      <c r="BW8" s="17">
        <v>0.6</v>
      </c>
      <c r="BX8" s="18">
        <v>0.5</v>
      </c>
      <c r="BY8" s="11">
        <f t="shared" si="10"/>
        <v>0.3</v>
      </c>
      <c r="CA8" s="15"/>
      <c r="CB8" s="16"/>
      <c r="CC8" s="17"/>
      <c r="CD8" s="18"/>
      <c r="CE8" s="11"/>
      <c r="CG8" s="15" t="s">
        <v>10</v>
      </c>
      <c r="CH8" s="16" t="s">
        <v>9</v>
      </c>
      <c r="CI8" s="17">
        <v>0.15</v>
      </c>
      <c r="CJ8" s="18">
        <v>0.25</v>
      </c>
      <c r="CK8" s="11">
        <f t="shared" si="12"/>
        <v>3.7499999999999999E-2</v>
      </c>
      <c r="CM8" s="15"/>
      <c r="CN8" s="16"/>
      <c r="CO8" s="17"/>
      <c r="CP8" s="18"/>
      <c r="CQ8" s="11"/>
    </row>
    <row r="9" spans="1:95" ht="15" thickBot="1" x14ac:dyDescent="0.35">
      <c r="A9" s="15" t="s">
        <v>154</v>
      </c>
      <c r="B9" s="16" t="s">
        <v>44</v>
      </c>
      <c r="C9" s="17">
        <v>1.5</v>
      </c>
      <c r="D9" s="18">
        <v>2E-3</v>
      </c>
      <c r="E9" s="11">
        <f t="shared" si="0"/>
        <v>3.0000000000000001E-3</v>
      </c>
      <c r="G9" s="15" t="s">
        <v>156</v>
      </c>
      <c r="H9" s="16" t="s">
        <v>44</v>
      </c>
      <c r="I9" s="17">
        <v>1.5</v>
      </c>
      <c r="J9" s="18">
        <v>0.02</v>
      </c>
      <c r="K9" s="11">
        <f t="shared" si="13"/>
        <v>0.03</v>
      </c>
      <c r="M9" s="15" t="s">
        <v>155</v>
      </c>
      <c r="N9" s="16" t="s">
        <v>11</v>
      </c>
      <c r="O9" s="17">
        <v>1</v>
      </c>
      <c r="P9" s="18">
        <v>5.0000000000000001E-3</v>
      </c>
      <c r="Q9" s="11">
        <f t="shared" si="1"/>
        <v>5.0000000000000001E-3</v>
      </c>
      <c r="S9" s="19" t="s">
        <v>173</v>
      </c>
      <c r="T9" s="20" t="s">
        <v>11</v>
      </c>
      <c r="U9" s="20">
        <v>3</v>
      </c>
      <c r="V9" s="21">
        <v>5.0000000000000001E-3</v>
      </c>
      <c r="W9" s="11">
        <f t="shared" si="2"/>
        <v>1.4999999999999999E-2</v>
      </c>
      <c r="Y9" s="15" t="s">
        <v>157</v>
      </c>
      <c r="Z9" s="16" t="s">
        <v>11</v>
      </c>
      <c r="AA9" s="17">
        <v>3.83</v>
      </c>
      <c r="AB9" s="18">
        <v>0.03</v>
      </c>
      <c r="AC9" s="11">
        <f t="shared" si="3"/>
        <v>0.1149</v>
      </c>
      <c r="AE9" s="1"/>
      <c r="AF9" s="1"/>
      <c r="AG9" s="72" t="s">
        <v>28</v>
      </c>
      <c r="AH9" s="73"/>
      <c r="AI9" s="26">
        <v>2</v>
      </c>
      <c r="AK9" s="15"/>
      <c r="AL9" s="16"/>
      <c r="AM9" s="17"/>
      <c r="AN9" s="18"/>
      <c r="AO9" s="11">
        <f t="shared" si="5"/>
        <v>0</v>
      </c>
      <c r="AQ9" s="15" t="s">
        <v>263</v>
      </c>
      <c r="AR9" s="16" t="s">
        <v>9</v>
      </c>
      <c r="AS9" s="17">
        <v>1</v>
      </c>
      <c r="AT9" s="18">
        <v>0.5</v>
      </c>
      <c r="AU9" s="11">
        <f t="shared" si="6"/>
        <v>0.5</v>
      </c>
      <c r="AW9" s="15" t="s">
        <v>159</v>
      </c>
      <c r="AX9" s="16" t="s">
        <v>9</v>
      </c>
      <c r="AY9" s="17">
        <v>0.4</v>
      </c>
      <c r="AZ9" s="18">
        <v>0.01</v>
      </c>
      <c r="BA9" s="11">
        <f t="shared" si="7"/>
        <v>4.0000000000000001E-3</v>
      </c>
      <c r="BC9" s="37"/>
      <c r="BD9" s="18"/>
      <c r="BE9" s="32"/>
      <c r="BF9" s="18"/>
      <c r="BG9" s="38"/>
      <c r="BI9" s="15"/>
      <c r="BJ9" s="16"/>
      <c r="BK9" s="17"/>
      <c r="BL9" s="18"/>
      <c r="BM9" s="11">
        <f t="shared" si="8"/>
        <v>0</v>
      </c>
      <c r="BO9" s="15" t="s">
        <v>349</v>
      </c>
      <c r="BP9" s="16"/>
      <c r="BQ9" s="17">
        <v>0.3</v>
      </c>
      <c r="BR9" s="18">
        <v>1</v>
      </c>
      <c r="BS9" s="11">
        <f t="shared" si="9"/>
        <v>0.3</v>
      </c>
      <c r="BU9" s="15" t="s">
        <v>263</v>
      </c>
      <c r="BV9" s="16" t="s">
        <v>9</v>
      </c>
      <c r="BW9" s="17">
        <v>1</v>
      </c>
      <c r="BX9" s="18">
        <v>0.5</v>
      </c>
      <c r="BY9" s="11">
        <f t="shared" si="10"/>
        <v>0.5</v>
      </c>
      <c r="CA9" s="15"/>
      <c r="CB9" s="16"/>
      <c r="CC9" s="17"/>
      <c r="CD9" s="18"/>
      <c r="CE9" s="11"/>
      <c r="CG9" s="15" t="s">
        <v>142</v>
      </c>
      <c r="CH9" s="16" t="s">
        <v>9</v>
      </c>
      <c r="CI9" s="17">
        <v>0.15</v>
      </c>
      <c r="CJ9" s="18">
        <v>0.25</v>
      </c>
      <c r="CK9" s="11">
        <f t="shared" si="12"/>
        <v>3.7499999999999999E-2</v>
      </c>
      <c r="CM9" s="15"/>
      <c r="CN9" s="16"/>
      <c r="CO9" s="17"/>
      <c r="CP9" s="18"/>
      <c r="CQ9" s="11"/>
    </row>
    <row r="10" spans="1:95" x14ac:dyDescent="0.3">
      <c r="A10" s="15" t="s">
        <v>24</v>
      </c>
      <c r="B10" s="16" t="s">
        <v>11</v>
      </c>
      <c r="C10" s="17">
        <v>0.02</v>
      </c>
      <c r="D10" s="18">
        <v>1E-3</v>
      </c>
      <c r="E10" s="11">
        <f t="shared" si="0"/>
        <v>2.0000000000000002E-5</v>
      </c>
      <c r="G10" s="15" t="s">
        <v>163</v>
      </c>
      <c r="H10" s="16" t="s">
        <v>164</v>
      </c>
      <c r="I10" s="17">
        <v>0.53</v>
      </c>
      <c r="J10" s="18">
        <v>1</v>
      </c>
      <c r="K10" s="11">
        <f t="shared" si="13"/>
        <v>0.53</v>
      </c>
      <c r="M10" s="15" t="s">
        <v>161</v>
      </c>
      <c r="N10" s="16" t="s">
        <v>11</v>
      </c>
      <c r="O10" s="17">
        <v>1</v>
      </c>
      <c r="P10" s="18">
        <v>2E-3</v>
      </c>
      <c r="Q10" s="11">
        <f t="shared" si="1"/>
        <v>2E-3</v>
      </c>
      <c r="S10" s="19" t="s">
        <v>154</v>
      </c>
      <c r="T10" s="20" t="s">
        <v>44</v>
      </c>
      <c r="U10" s="20">
        <v>1.5</v>
      </c>
      <c r="V10" s="21">
        <v>0.02</v>
      </c>
      <c r="W10" s="11">
        <f t="shared" si="2"/>
        <v>0.03</v>
      </c>
      <c r="Y10" s="15" t="s">
        <v>165</v>
      </c>
      <c r="Z10" s="16" t="s">
        <v>11</v>
      </c>
      <c r="AA10" s="17">
        <v>1</v>
      </c>
      <c r="AB10" s="18">
        <v>0.02</v>
      </c>
      <c r="AC10" s="11">
        <f t="shared" si="3"/>
        <v>0.02</v>
      </c>
      <c r="AE10" s="1"/>
      <c r="AF10" s="1"/>
      <c r="AG10" s="82" t="s">
        <v>29</v>
      </c>
      <c r="AH10" s="74"/>
      <c r="AI10" s="27">
        <f>AI8/AI9*100</f>
        <v>25.762499999999999</v>
      </c>
      <c r="AK10" s="15"/>
      <c r="AL10" s="16"/>
      <c r="AM10" s="17"/>
      <c r="AN10" s="18"/>
      <c r="AO10" s="11">
        <f t="shared" si="5"/>
        <v>0</v>
      </c>
      <c r="AQ10" s="15" t="s">
        <v>154</v>
      </c>
      <c r="AR10" s="16" t="s">
        <v>38</v>
      </c>
      <c r="AS10" s="17">
        <v>1.5</v>
      </c>
      <c r="AT10" s="18">
        <v>5.0000000000000001E-3</v>
      </c>
      <c r="AU10" s="11">
        <f t="shared" si="6"/>
        <v>7.4999999999999997E-3</v>
      </c>
      <c r="AW10" s="15" t="s">
        <v>154</v>
      </c>
      <c r="AX10" s="16" t="s">
        <v>38</v>
      </c>
      <c r="AY10" s="17">
        <v>1.5</v>
      </c>
      <c r="AZ10" s="18">
        <v>0.02</v>
      </c>
      <c r="BA10" s="11">
        <f t="shared" si="7"/>
        <v>0.03</v>
      </c>
      <c r="BC10" s="37"/>
      <c r="BD10" s="18"/>
      <c r="BE10" s="32"/>
      <c r="BF10" s="18"/>
      <c r="BG10" s="38"/>
      <c r="BI10" s="15"/>
      <c r="BJ10" s="16"/>
      <c r="BK10" s="17"/>
      <c r="BL10" s="18"/>
      <c r="BM10" s="11">
        <f t="shared" si="8"/>
        <v>0</v>
      </c>
      <c r="BO10" s="15" t="s">
        <v>366</v>
      </c>
      <c r="BP10" s="16"/>
      <c r="BQ10" s="17">
        <v>40</v>
      </c>
      <c r="BR10" s="18">
        <v>0.03</v>
      </c>
      <c r="BS10" s="11">
        <f t="shared" si="9"/>
        <v>1.2</v>
      </c>
      <c r="BU10" s="15" t="s">
        <v>154</v>
      </c>
      <c r="BV10" s="16" t="s">
        <v>38</v>
      </c>
      <c r="BW10" s="17">
        <v>1.5</v>
      </c>
      <c r="BX10" s="18">
        <v>5.0000000000000001E-3</v>
      </c>
      <c r="BY10" s="11">
        <f t="shared" si="10"/>
        <v>7.4999999999999997E-3</v>
      </c>
      <c r="CA10" s="15"/>
      <c r="CB10" s="16"/>
      <c r="CC10" s="17"/>
      <c r="CD10" s="18"/>
      <c r="CE10" s="11"/>
      <c r="CG10" s="15"/>
      <c r="CH10" s="16"/>
      <c r="CI10" s="17"/>
      <c r="CJ10" s="18"/>
      <c r="CK10" s="11"/>
      <c r="CM10" s="15"/>
      <c r="CN10" s="16"/>
      <c r="CO10" s="17"/>
      <c r="CP10" s="18"/>
      <c r="CQ10" s="11"/>
    </row>
    <row r="11" spans="1:95" x14ac:dyDescent="0.3">
      <c r="A11" s="15" t="s">
        <v>167</v>
      </c>
      <c r="B11" s="16" t="s">
        <v>11</v>
      </c>
      <c r="C11" s="17">
        <v>11</v>
      </c>
      <c r="D11" s="18">
        <v>2E-3</v>
      </c>
      <c r="E11" s="11">
        <f t="shared" si="0"/>
        <v>2.1999999999999999E-2</v>
      </c>
      <c r="G11" s="15"/>
      <c r="H11" s="16"/>
      <c r="I11" s="17"/>
      <c r="J11" s="18"/>
      <c r="K11" s="11">
        <f t="shared" si="13"/>
        <v>0</v>
      </c>
      <c r="M11" s="15" t="s">
        <v>140</v>
      </c>
      <c r="N11" s="16" t="s">
        <v>11</v>
      </c>
      <c r="O11" s="17">
        <v>6</v>
      </c>
      <c r="P11" s="18">
        <v>2E-3</v>
      </c>
      <c r="Q11" s="11">
        <f t="shared" si="1"/>
        <v>1.2E-2</v>
      </c>
      <c r="S11" s="19" t="s">
        <v>24</v>
      </c>
      <c r="T11" s="20" t="s">
        <v>11</v>
      </c>
      <c r="U11" s="20">
        <v>0.02</v>
      </c>
      <c r="V11" s="21">
        <v>2E-3</v>
      </c>
      <c r="W11" s="11">
        <f t="shared" si="2"/>
        <v>4.0000000000000003E-5</v>
      </c>
      <c r="Y11" s="15" t="s">
        <v>170</v>
      </c>
      <c r="Z11" s="16" t="s">
        <v>11</v>
      </c>
      <c r="AA11" s="17">
        <v>1.8</v>
      </c>
      <c r="AB11" s="18">
        <v>0.25</v>
      </c>
      <c r="AC11" s="11">
        <f t="shared" si="3"/>
        <v>0.45</v>
      </c>
      <c r="AE11" s="1"/>
      <c r="AF11" s="1"/>
      <c r="AG11" s="1"/>
      <c r="AH11" s="28" t="s">
        <v>30</v>
      </c>
      <c r="AI11" s="16">
        <f>100-AI10</f>
        <v>74.237499999999997</v>
      </c>
      <c r="AK11" s="15"/>
      <c r="AL11" s="16"/>
      <c r="AM11" s="17"/>
      <c r="AN11" s="18"/>
      <c r="AO11" s="11">
        <f t="shared" si="5"/>
        <v>0</v>
      </c>
      <c r="AQ11" s="15" t="s">
        <v>167</v>
      </c>
      <c r="AR11" s="16" t="s">
        <v>9</v>
      </c>
      <c r="AS11" s="17">
        <v>11</v>
      </c>
      <c r="AT11" s="18">
        <v>2E-3</v>
      </c>
      <c r="AU11" s="11">
        <f t="shared" si="6"/>
        <v>2.1999999999999999E-2</v>
      </c>
      <c r="AW11" s="15" t="s">
        <v>167</v>
      </c>
      <c r="AX11" s="16" t="s">
        <v>9</v>
      </c>
      <c r="AY11" s="17">
        <v>11</v>
      </c>
      <c r="AZ11" s="18">
        <v>2E-3</v>
      </c>
      <c r="BA11" s="11">
        <f t="shared" si="7"/>
        <v>2.1999999999999999E-2</v>
      </c>
      <c r="BC11" s="37"/>
      <c r="BD11" s="18"/>
      <c r="BE11" s="18"/>
      <c r="BF11" s="18"/>
      <c r="BG11" s="38"/>
      <c r="BI11" s="15"/>
      <c r="BJ11" s="16"/>
      <c r="BK11" s="17"/>
      <c r="BL11" s="18"/>
      <c r="BM11" s="11">
        <f t="shared" si="8"/>
        <v>0</v>
      </c>
      <c r="BO11" s="15"/>
      <c r="BP11" s="16"/>
      <c r="BQ11" s="17"/>
      <c r="BR11" s="18"/>
      <c r="BS11" s="11">
        <f t="shared" si="9"/>
        <v>0</v>
      </c>
      <c r="BU11" s="15" t="s">
        <v>167</v>
      </c>
      <c r="BV11" s="16" t="s">
        <v>9</v>
      </c>
      <c r="BW11" s="17">
        <v>11</v>
      </c>
      <c r="BX11" s="18">
        <v>2E-3</v>
      </c>
      <c r="BY11" s="11">
        <f t="shared" si="10"/>
        <v>2.1999999999999999E-2</v>
      </c>
      <c r="CA11" s="15"/>
      <c r="CB11" s="16"/>
      <c r="CC11" s="17"/>
      <c r="CD11" s="18"/>
      <c r="CE11" s="11"/>
      <c r="CG11" s="15"/>
      <c r="CH11" s="16"/>
      <c r="CI11" s="17"/>
      <c r="CJ11" s="18"/>
      <c r="CK11" s="11"/>
      <c r="CM11" s="15"/>
      <c r="CN11" s="16"/>
      <c r="CO11" s="17"/>
      <c r="CP11" s="18"/>
      <c r="CQ11" s="11"/>
    </row>
    <row r="12" spans="1:95" x14ac:dyDescent="0.3">
      <c r="A12" s="19" t="s">
        <v>172</v>
      </c>
      <c r="B12" s="20" t="s">
        <v>11</v>
      </c>
      <c r="C12" s="20">
        <v>12.5</v>
      </c>
      <c r="D12" s="21">
        <v>7.2999999999999995E-2</v>
      </c>
      <c r="E12" s="11">
        <f t="shared" si="0"/>
        <v>0.91249999999999998</v>
      </c>
      <c r="G12" s="19"/>
      <c r="H12" s="20"/>
      <c r="I12" s="20"/>
      <c r="J12" s="21"/>
      <c r="K12" s="11">
        <f t="shared" si="13"/>
        <v>0</v>
      </c>
      <c r="M12" s="19" t="s">
        <v>173</v>
      </c>
      <c r="N12" s="20" t="s">
        <v>11</v>
      </c>
      <c r="O12" s="20">
        <v>3</v>
      </c>
      <c r="P12" s="21">
        <v>5.0000000000000001E-3</v>
      </c>
      <c r="Q12" s="11">
        <f t="shared" si="1"/>
        <v>1.4999999999999999E-2</v>
      </c>
      <c r="S12" s="19" t="s">
        <v>182</v>
      </c>
      <c r="T12" s="20" t="s">
        <v>11</v>
      </c>
      <c r="U12" s="20">
        <v>11</v>
      </c>
      <c r="V12" s="21">
        <v>2E-3</v>
      </c>
      <c r="W12" s="11">
        <f t="shared" si="2"/>
        <v>2.1999999999999999E-2</v>
      </c>
      <c r="Y12" s="19" t="s">
        <v>154</v>
      </c>
      <c r="Z12" s="20" t="s">
        <v>44</v>
      </c>
      <c r="AA12" s="20">
        <v>1.5</v>
      </c>
      <c r="AB12" s="21">
        <v>0.01</v>
      </c>
      <c r="AC12" s="11">
        <f t="shared" si="3"/>
        <v>1.4999999999999999E-2</v>
      </c>
      <c r="AK12" s="19"/>
      <c r="AL12" s="20"/>
      <c r="AM12" s="20"/>
      <c r="AN12" s="21"/>
      <c r="AO12" s="11">
        <f t="shared" si="5"/>
        <v>0</v>
      </c>
      <c r="AQ12" s="19" t="s">
        <v>166</v>
      </c>
      <c r="AR12" s="20" t="s">
        <v>9</v>
      </c>
      <c r="AS12" s="20">
        <v>0.02</v>
      </c>
      <c r="AT12" s="21">
        <v>2E-3</v>
      </c>
      <c r="AU12" s="11">
        <f t="shared" si="6"/>
        <v>4.0000000000000003E-5</v>
      </c>
      <c r="AW12" s="19" t="s">
        <v>166</v>
      </c>
      <c r="AX12" s="20" t="s">
        <v>9</v>
      </c>
      <c r="AY12" s="20">
        <v>0.02</v>
      </c>
      <c r="AZ12" s="21">
        <v>2E-3</v>
      </c>
      <c r="BA12" s="11">
        <f t="shared" si="7"/>
        <v>4.0000000000000003E-5</v>
      </c>
      <c r="BC12" s="37"/>
      <c r="BD12" s="18"/>
      <c r="BE12" s="18"/>
      <c r="BF12" s="18"/>
      <c r="BG12" s="38"/>
      <c r="BI12" s="19"/>
      <c r="BJ12" s="20"/>
      <c r="BK12" s="20"/>
      <c r="BL12" s="21"/>
      <c r="BM12" s="11">
        <f t="shared" si="8"/>
        <v>0</v>
      </c>
      <c r="BO12" s="19"/>
      <c r="BP12" s="20"/>
      <c r="BQ12" s="20"/>
      <c r="BR12" s="21"/>
      <c r="BS12" s="11">
        <f t="shared" si="9"/>
        <v>0</v>
      </c>
      <c r="BU12" s="19" t="s">
        <v>166</v>
      </c>
      <c r="BV12" s="20" t="s">
        <v>9</v>
      </c>
      <c r="BW12" s="20">
        <v>0.02</v>
      </c>
      <c r="BX12" s="21">
        <v>2E-3</v>
      </c>
      <c r="BY12" s="11">
        <f t="shared" si="10"/>
        <v>4.0000000000000003E-5</v>
      </c>
      <c r="CA12" s="19"/>
      <c r="CB12" s="20"/>
      <c r="CC12" s="20"/>
      <c r="CD12" s="21"/>
      <c r="CE12" s="11"/>
      <c r="CG12" s="19"/>
      <c r="CH12" s="20"/>
      <c r="CI12" s="20"/>
      <c r="CJ12" s="21"/>
      <c r="CK12" s="11"/>
      <c r="CM12" s="19"/>
      <c r="CN12" s="20"/>
      <c r="CO12" s="20"/>
      <c r="CP12" s="21"/>
      <c r="CQ12" s="11"/>
    </row>
    <row r="13" spans="1:95" x14ac:dyDescent="0.3">
      <c r="A13" s="19" t="s">
        <v>175</v>
      </c>
      <c r="B13" s="20" t="s">
        <v>11</v>
      </c>
      <c r="C13" s="20">
        <v>18</v>
      </c>
      <c r="D13" s="21">
        <v>0.05</v>
      </c>
      <c r="E13" s="11">
        <f t="shared" si="0"/>
        <v>0.9</v>
      </c>
      <c r="G13" s="19"/>
      <c r="H13" s="20"/>
      <c r="I13" s="20"/>
      <c r="J13" s="21"/>
      <c r="K13" s="11">
        <f t="shared" si="13"/>
        <v>0</v>
      </c>
      <c r="M13" s="19" t="s">
        <v>154</v>
      </c>
      <c r="N13" s="20" t="s">
        <v>44</v>
      </c>
      <c r="O13" s="20">
        <v>1.5</v>
      </c>
      <c r="P13" s="21">
        <v>0.02</v>
      </c>
      <c r="Q13" s="11">
        <f t="shared" si="1"/>
        <v>0.03</v>
      </c>
      <c r="S13" s="19" t="s">
        <v>10</v>
      </c>
      <c r="T13" s="20" t="s">
        <v>11</v>
      </c>
      <c r="U13" s="20">
        <v>8.6999999999999993</v>
      </c>
      <c r="V13" s="21">
        <v>0.02</v>
      </c>
      <c r="W13" s="11">
        <f t="shared" si="2"/>
        <v>0.17399999999999999</v>
      </c>
      <c r="Y13" s="19" t="s">
        <v>8</v>
      </c>
      <c r="Z13" s="20" t="s">
        <v>11</v>
      </c>
      <c r="AA13" s="20">
        <v>8.6999999999999993</v>
      </c>
      <c r="AB13" s="21">
        <v>0.03</v>
      </c>
      <c r="AC13" s="11">
        <f t="shared" si="3"/>
        <v>0.26099999999999995</v>
      </c>
      <c r="AK13" s="19"/>
      <c r="AL13" s="20"/>
      <c r="AM13" s="20"/>
      <c r="AN13" s="21"/>
      <c r="AO13" s="11">
        <f t="shared" si="5"/>
        <v>0</v>
      </c>
      <c r="AQ13" s="19" t="s">
        <v>340</v>
      </c>
      <c r="AR13" s="20"/>
      <c r="AS13" s="20"/>
      <c r="AT13" s="21"/>
      <c r="AU13" s="11">
        <f t="shared" si="6"/>
        <v>0</v>
      </c>
      <c r="AW13" s="19" t="s">
        <v>152</v>
      </c>
      <c r="AX13" s="20" t="s">
        <v>9</v>
      </c>
      <c r="AY13" s="20">
        <v>3</v>
      </c>
      <c r="AZ13" s="21">
        <v>0.15</v>
      </c>
      <c r="BA13" s="11">
        <f t="shared" si="7"/>
        <v>0.44999999999999996</v>
      </c>
      <c r="BC13" s="37"/>
      <c r="BD13" s="18"/>
      <c r="BE13" s="18"/>
      <c r="BF13" s="18"/>
      <c r="BG13" s="38"/>
      <c r="BI13" s="19"/>
      <c r="BJ13" s="20"/>
      <c r="BK13" s="20"/>
      <c r="BL13" s="21"/>
      <c r="BM13" s="11">
        <f t="shared" ref="BM13" si="15">+BL13*BK13</f>
        <v>0</v>
      </c>
      <c r="BO13" s="19"/>
      <c r="BP13" s="20"/>
      <c r="BQ13" s="20"/>
      <c r="BR13" s="21"/>
      <c r="BS13" s="11">
        <f t="shared" si="9"/>
        <v>0</v>
      </c>
      <c r="BU13" s="19" t="s">
        <v>340</v>
      </c>
      <c r="BV13" s="20"/>
      <c r="BW13" s="20">
        <v>3</v>
      </c>
      <c r="BX13" s="21">
        <v>0.2</v>
      </c>
      <c r="BY13" s="11">
        <f t="shared" si="10"/>
        <v>0.60000000000000009</v>
      </c>
      <c r="CA13" s="19"/>
      <c r="CB13" s="20"/>
      <c r="CC13" s="20"/>
      <c r="CD13" s="21"/>
      <c r="CE13" s="11"/>
      <c r="CG13" s="19"/>
      <c r="CH13" s="20"/>
      <c r="CI13" s="20"/>
      <c r="CJ13" s="21"/>
      <c r="CK13" s="11"/>
      <c r="CM13" s="19"/>
      <c r="CN13" s="20"/>
      <c r="CO13" s="20"/>
      <c r="CP13" s="21"/>
      <c r="CQ13" s="11"/>
    </row>
    <row r="14" spans="1:95" x14ac:dyDescent="0.3">
      <c r="A14" s="19"/>
      <c r="B14" s="20"/>
      <c r="C14" s="20"/>
      <c r="D14" s="21"/>
      <c r="E14" s="11">
        <f t="shared" si="0"/>
        <v>0</v>
      </c>
      <c r="G14" s="19"/>
      <c r="H14" s="20"/>
      <c r="I14" s="20"/>
      <c r="J14" s="21"/>
      <c r="K14" s="11">
        <f t="shared" si="13"/>
        <v>0</v>
      </c>
      <c r="M14" s="19" t="s">
        <v>24</v>
      </c>
      <c r="N14" s="20" t="s">
        <v>11</v>
      </c>
      <c r="O14" s="20">
        <v>0.02</v>
      </c>
      <c r="P14" s="21">
        <v>2E-3</v>
      </c>
      <c r="Q14" s="11">
        <f t="shared" si="1"/>
        <v>4.0000000000000003E-5</v>
      </c>
      <c r="S14" s="15" t="s">
        <v>170</v>
      </c>
      <c r="T14" s="16" t="s">
        <v>11</v>
      </c>
      <c r="U14" s="17">
        <v>1.8</v>
      </c>
      <c r="V14" s="18">
        <v>0.25</v>
      </c>
      <c r="W14" s="11">
        <f t="shared" si="2"/>
        <v>0.45</v>
      </c>
      <c r="Y14" s="19" t="s">
        <v>178</v>
      </c>
      <c r="Z14" s="20" t="s">
        <v>44</v>
      </c>
      <c r="AA14" s="20">
        <v>6.52</v>
      </c>
      <c r="AB14" s="21">
        <v>0.01</v>
      </c>
      <c r="AC14" s="11">
        <f t="shared" si="3"/>
        <v>6.5199999999999994E-2</v>
      </c>
      <c r="AK14" s="19"/>
      <c r="AL14" s="20"/>
      <c r="AM14" s="20"/>
      <c r="AN14" s="21"/>
      <c r="AO14" s="11">
        <f t="shared" si="5"/>
        <v>0</v>
      </c>
      <c r="AQ14" s="19"/>
      <c r="AR14" s="20"/>
      <c r="AS14" s="20"/>
      <c r="AT14" s="21"/>
      <c r="AU14" s="11">
        <f t="shared" si="6"/>
        <v>0</v>
      </c>
      <c r="AW14" s="19"/>
      <c r="AX14" s="20"/>
      <c r="AY14" s="20"/>
      <c r="AZ14" s="21"/>
      <c r="BA14" s="11"/>
      <c r="BC14" s="37"/>
      <c r="BD14" s="18"/>
      <c r="BE14" s="18"/>
      <c r="BF14" s="18"/>
      <c r="BG14" s="38"/>
      <c r="BI14" s="19"/>
      <c r="BJ14" s="20"/>
      <c r="BK14" s="20"/>
      <c r="BL14" s="21"/>
      <c r="BM14" s="11"/>
      <c r="BO14" s="19"/>
      <c r="BP14" s="20"/>
      <c r="BQ14" s="20"/>
      <c r="BR14" s="21"/>
      <c r="BS14" s="11"/>
      <c r="BU14" s="19"/>
      <c r="BV14" s="20"/>
      <c r="BW14" s="20"/>
      <c r="BX14" s="21"/>
      <c r="BY14" s="11">
        <f t="shared" si="10"/>
        <v>0</v>
      </c>
      <c r="CA14" s="19"/>
      <c r="CB14" s="20"/>
      <c r="CC14" s="20"/>
      <c r="CD14" s="21"/>
      <c r="CE14" s="11"/>
      <c r="CG14" s="19"/>
      <c r="CH14" s="20"/>
      <c r="CI14" s="20"/>
      <c r="CJ14" s="21"/>
      <c r="CK14" s="11"/>
      <c r="CM14" s="19"/>
      <c r="CN14" s="20"/>
      <c r="CO14" s="20"/>
      <c r="CP14" s="21"/>
      <c r="CQ14" s="11"/>
    </row>
    <row r="15" spans="1:95" x14ac:dyDescent="0.3">
      <c r="A15" s="19"/>
      <c r="B15" s="20"/>
      <c r="C15" s="20"/>
      <c r="D15" s="21"/>
      <c r="E15" s="11">
        <f t="shared" si="0"/>
        <v>0</v>
      </c>
      <c r="G15" s="19"/>
      <c r="H15" s="20"/>
      <c r="I15" s="20"/>
      <c r="J15" s="21"/>
      <c r="K15" s="11">
        <f t="shared" si="13"/>
        <v>0</v>
      </c>
      <c r="M15" s="19" t="s">
        <v>182</v>
      </c>
      <c r="N15" s="20" t="s">
        <v>11</v>
      </c>
      <c r="O15" s="20">
        <v>11</v>
      </c>
      <c r="P15" s="21">
        <v>2E-3</v>
      </c>
      <c r="Q15" s="11">
        <f t="shared" si="1"/>
        <v>2.1999999999999999E-2</v>
      </c>
      <c r="S15" s="19"/>
      <c r="T15" s="20"/>
      <c r="U15" s="20"/>
      <c r="V15" s="21"/>
      <c r="W15" s="11"/>
      <c r="Y15" s="19" t="s">
        <v>91</v>
      </c>
      <c r="Z15" s="20" t="s">
        <v>128</v>
      </c>
      <c r="AA15" s="20">
        <v>0.15</v>
      </c>
      <c r="AB15" s="21">
        <v>1</v>
      </c>
      <c r="AC15" s="11">
        <f t="shared" si="3"/>
        <v>0.15</v>
      </c>
      <c r="AK15" s="19"/>
      <c r="AL15" s="20"/>
      <c r="AM15" s="20"/>
      <c r="AN15" s="21"/>
      <c r="AO15" s="11">
        <f t="shared" si="5"/>
        <v>0</v>
      </c>
      <c r="AQ15" s="19"/>
      <c r="AR15" s="20"/>
      <c r="AS15" s="20"/>
      <c r="AT15" s="21"/>
      <c r="AU15" s="11">
        <f t="shared" si="6"/>
        <v>0</v>
      </c>
      <c r="AW15" s="19"/>
      <c r="AX15" s="20"/>
      <c r="AY15" s="20"/>
      <c r="AZ15" s="21"/>
      <c r="BA15" s="11">
        <f t="shared" si="7"/>
        <v>0</v>
      </c>
      <c r="BC15" s="37"/>
      <c r="BD15" s="18"/>
      <c r="BE15" s="18"/>
      <c r="BF15" s="18"/>
      <c r="BG15" s="38"/>
      <c r="BI15" s="19"/>
      <c r="BJ15" s="20"/>
      <c r="BK15" s="20"/>
      <c r="BL15" s="21"/>
      <c r="BM15" s="11">
        <f t="shared" ref="BM15:BM18" si="16">+BL15*BK15</f>
        <v>0</v>
      </c>
      <c r="BO15" s="19"/>
      <c r="BP15" s="20"/>
      <c r="BQ15" s="20"/>
      <c r="BR15" s="21"/>
      <c r="BS15" s="11">
        <f t="shared" ref="BS15:BS18" si="17">+BR15*BQ15</f>
        <v>0</v>
      </c>
      <c r="BU15" s="19"/>
      <c r="BV15" s="20"/>
      <c r="BW15" s="20"/>
      <c r="BX15" s="21"/>
      <c r="BY15" s="11">
        <f t="shared" si="10"/>
        <v>0</v>
      </c>
      <c r="CA15" s="19"/>
      <c r="CB15" s="20"/>
      <c r="CC15" s="20"/>
      <c r="CD15" s="21"/>
      <c r="CE15" s="11">
        <f t="shared" ref="CE15:CE18" si="18">+CD15*CC15</f>
        <v>0</v>
      </c>
      <c r="CG15" s="19"/>
      <c r="CH15" s="20"/>
      <c r="CI15" s="20"/>
      <c r="CJ15" s="21"/>
      <c r="CK15" s="11">
        <f t="shared" ref="CK15:CK18" si="19">+CJ15*CI15</f>
        <v>0</v>
      </c>
      <c r="CM15" s="19"/>
      <c r="CN15" s="20"/>
      <c r="CO15" s="20"/>
      <c r="CP15" s="21"/>
      <c r="CQ15" s="11"/>
    </row>
    <row r="16" spans="1:95" ht="15" thickBot="1" x14ac:dyDescent="0.35">
      <c r="A16" s="19"/>
      <c r="B16" s="20"/>
      <c r="C16" s="20"/>
      <c r="D16" s="21"/>
      <c r="E16" s="11">
        <f t="shared" si="0"/>
        <v>0</v>
      </c>
      <c r="G16" s="19"/>
      <c r="H16" s="20"/>
      <c r="I16" s="20"/>
      <c r="J16" s="21"/>
      <c r="K16" s="11">
        <f t="shared" si="13"/>
        <v>0</v>
      </c>
      <c r="M16" s="19" t="s">
        <v>10</v>
      </c>
      <c r="N16" s="20" t="s">
        <v>11</v>
      </c>
      <c r="O16" s="20">
        <v>8.6999999999999993</v>
      </c>
      <c r="P16" s="21">
        <v>0.02</v>
      </c>
      <c r="Q16" s="11">
        <f t="shared" si="1"/>
        <v>0.17399999999999999</v>
      </c>
      <c r="S16" s="22"/>
      <c r="T16" s="23"/>
      <c r="U16" s="23"/>
      <c r="V16" s="24"/>
      <c r="W16" s="25"/>
      <c r="Y16" s="19"/>
      <c r="Z16" s="20"/>
      <c r="AA16" s="20"/>
      <c r="AB16" s="21"/>
      <c r="AC16" s="11">
        <f t="shared" si="3"/>
        <v>0</v>
      </c>
      <c r="AK16" s="19"/>
      <c r="AL16" s="20"/>
      <c r="AM16" s="20"/>
      <c r="AN16" s="21"/>
      <c r="AO16" s="11">
        <f t="shared" si="5"/>
        <v>0</v>
      </c>
      <c r="AQ16" s="19"/>
      <c r="AR16" s="20"/>
      <c r="AS16" s="20"/>
      <c r="AT16" s="21"/>
      <c r="AU16" s="11">
        <f t="shared" si="6"/>
        <v>0</v>
      </c>
      <c r="AW16" s="19"/>
      <c r="AX16" s="20"/>
      <c r="AY16" s="20"/>
      <c r="AZ16" s="21"/>
      <c r="BA16" s="11">
        <f t="shared" si="7"/>
        <v>0</v>
      </c>
      <c r="BC16" s="19"/>
      <c r="BD16" s="20"/>
      <c r="BE16" s="20"/>
      <c r="BF16" s="21"/>
      <c r="BG16" s="11"/>
      <c r="BI16" s="19"/>
      <c r="BJ16" s="20"/>
      <c r="BK16" s="20"/>
      <c r="BL16" s="21"/>
      <c r="BM16" s="11">
        <f t="shared" si="16"/>
        <v>0</v>
      </c>
      <c r="BO16" s="19"/>
      <c r="BP16" s="20"/>
      <c r="BQ16" s="20"/>
      <c r="BR16" s="21"/>
      <c r="BS16" s="11">
        <f t="shared" si="17"/>
        <v>0</v>
      </c>
      <c r="BU16" s="19"/>
      <c r="BV16" s="20"/>
      <c r="BW16" s="20"/>
      <c r="BX16" s="21"/>
      <c r="BY16" s="11">
        <f t="shared" si="10"/>
        <v>0</v>
      </c>
      <c r="CA16" s="19"/>
      <c r="CB16" s="20"/>
      <c r="CC16" s="20"/>
      <c r="CD16" s="21"/>
      <c r="CE16" s="11">
        <f t="shared" si="18"/>
        <v>0</v>
      </c>
      <c r="CG16" s="19"/>
      <c r="CH16" s="20"/>
      <c r="CI16" s="20"/>
      <c r="CJ16" s="21"/>
      <c r="CK16" s="11">
        <f t="shared" si="19"/>
        <v>0</v>
      </c>
      <c r="CM16" s="22"/>
      <c r="CN16" s="23"/>
      <c r="CO16" s="23"/>
      <c r="CP16" s="24"/>
      <c r="CQ16" s="25"/>
    </row>
    <row r="17" spans="1:95" ht="15" thickBot="1" x14ac:dyDescent="0.35">
      <c r="A17" s="19"/>
      <c r="B17" s="20"/>
      <c r="C17" s="20"/>
      <c r="D17" s="21"/>
      <c r="E17" s="11">
        <f t="shared" si="0"/>
        <v>0</v>
      </c>
      <c r="G17" s="19"/>
      <c r="H17" s="20"/>
      <c r="I17" s="20"/>
      <c r="J17" s="21"/>
      <c r="K17" s="11">
        <f t="shared" si="13"/>
        <v>0</v>
      </c>
      <c r="M17" s="19"/>
      <c r="N17" s="20"/>
      <c r="O17" s="20"/>
      <c r="P17" s="21"/>
      <c r="Q17" s="11"/>
      <c r="S17" s="1"/>
      <c r="T17" s="1"/>
      <c r="U17" s="72" t="s">
        <v>26</v>
      </c>
      <c r="V17" s="73"/>
      <c r="W17" s="26">
        <f>SUM(W4:W16)</f>
        <v>2.0175399999999999</v>
      </c>
      <c r="Y17" s="19"/>
      <c r="Z17" s="20"/>
      <c r="AA17" s="20"/>
      <c r="AB17" s="21"/>
      <c r="AC17" s="11">
        <f t="shared" si="3"/>
        <v>0</v>
      </c>
      <c r="AK17" s="19"/>
      <c r="AL17" s="20"/>
      <c r="AM17" s="20"/>
      <c r="AN17" s="21"/>
      <c r="AO17" s="11">
        <f t="shared" si="5"/>
        <v>0</v>
      </c>
      <c r="AQ17" s="19"/>
      <c r="AR17" s="20"/>
      <c r="AS17" s="20"/>
      <c r="AT17" s="21"/>
      <c r="AU17" s="11">
        <f t="shared" si="6"/>
        <v>0</v>
      </c>
      <c r="AW17" s="19"/>
      <c r="AX17" s="20"/>
      <c r="AY17" s="20"/>
      <c r="AZ17" s="21"/>
      <c r="BA17" s="11">
        <f t="shared" si="7"/>
        <v>0</v>
      </c>
      <c r="BC17" s="19"/>
      <c r="BD17" s="20"/>
      <c r="BE17" s="20"/>
      <c r="BF17" s="21"/>
      <c r="BG17" s="11"/>
      <c r="BI17" s="19"/>
      <c r="BJ17" s="20"/>
      <c r="BK17" s="20"/>
      <c r="BL17" s="21"/>
      <c r="BM17" s="11">
        <f t="shared" si="16"/>
        <v>0</v>
      </c>
      <c r="BO17" s="19"/>
      <c r="BP17" s="20"/>
      <c r="BQ17" s="20"/>
      <c r="BR17" s="21"/>
      <c r="BS17" s="11">
        <f t="shared" si="17"/>
        <v>0</v>
      </c>
      <c r="BU17" s="19"/>
      <c r="BV17" s="20"/>
      <c r="BW17" s="20"/>
      <c r="BX17" s="21"/>
      <c r="BY17" s="11">
        <f t="shared" si="10"/>
        <v>0</v>
      </c>
      <c r="CA17" s="19"/>
      <c r="CB17" s="20"/>
      <c r="CC17" s="20"/>
      <c r="CD17" s="21"/>
      <c r="CE17" s="11">
        <f t="shared" si="18"/>
        <v>0</v>
      </c>
      <c r="CG17" s="19"/>
      <c r="CH17" s="20"/>
      <c r="CI17" s="20"/>
      <c r="CJ17" s="21"/>
      <c r="CK17" s="11">
        <f t="shared" si="19"/>
        <v>0</v>
      </c>
      <c r="CM17" s="1"/>
      <c r="CN17" s="1"/>
      <c r="CO17" s="72" t="s">
        <v>26</v>
      </c>
      <c r="CP17" s="73"/>
      <c r="CQ17" s="26">
        <f>SUM(CQ4:CQ16)</f>
        <v>1.56</v>
      </c>
    </row>
    <row r="18" spans="1:95" ht="15" thickBot="1" x14ac:dyDescent="0.35">
      <c r="A18" s="19"/>
      <c r="B18" s="20"/>
      <c r="C18" s="20"/>
      <c r="D18" s="21"/>
      <c r="E18" s="11">
        <f t="shared" si="0"/>
        <v>0</v>
      </c>
      <c r="G18" s="19"/>
      <c r="H18" s="20"/>
      <c r="I18" s="20"/>
      <c r="J18" s="21"/>
      <c r="K18" s="11">
        <f t="shared" si="13"/>
        <v>0</v>
      </c>
      <c r="M18" s="19"/>
      <c r="N18" s="20"/>
      <c r="O18" s="20"/>
      <c r="P18" s="21"/>
      <c r="Q18" s="11"/>
      <c r="S18" s="1"/>
      <c r="T18" s="1"/>
      <c r="U18" s="72" t="s">
        <v>27</v>
      </c>
      <c r="V18" s="73"/>
      <c r="W18" s="26">
        <f>+W17*1.145</f>
        <v>2.3100833000000001</v>
      </c>
      <c r="Y18" s="19"/>
      <c r="Z18" s="20"/>
      <c r="AA18" s="20"/>
      <c r="AB18" s="21"/>
      <c r="AC18" s="11">
        <f t="shared" si="3"/>
        <v>0</v>
      </c>
      <c r="AK18" s="19"/>
      <c r="AL18" s="20"/>
      <c r="AM18" s="20"/>
      <c r="AN18" s="21"/>
      <c r="AO18" s="11">
        <f t="shared" si="5"/>
        <v>0</v>
      </c>
      <c r="AQ18" s="19"/>
      <c r="AR18" s="20"/>
      <c r="AS18" s="20"/>
      <c r="AT18" s="21"/>
      <c r="AU18" s="11">
        <f t="shared" si="6"/>
        <v>0</v>
      </c>
      <c r="AW18" s="19"/>
      <c r="AX18" s="20"/>
      <c r="AY18" s="20"/>
      <c r="AZ18" s="21"/>
      <c r="BA18" s="11">
        <f t="shared" si="7"/>
        <v>0</v>
      </c>
      <c r="BC18" s="19"/>
      <c r="BD18" s="20"/>
      <c r="BE18" s="20"/>
      <c r="BF18" s="21"/>
      <c r="BG18" s="11"/>
      <c r="BI18" s="19"/>
      <c r="BJ18" s="20"/>
      <c r="BK18" s="20"/>
      <c r="BL18" s="21"/>
      <c r="BM18" s="11">
        <f t="shared" si="16"/>
        <v>0</v>
      </c>
      <c r="BO18" s="19"/>
      <c r="BP18" s="20"/>
      <c r="BQ18" s="20"/>
      <c r="BR18" s="21"/>
      <c r="BS18" s="11">
        <f t="shared" si="17"/>
        <v>0</v>
      </c>
      <c r="BU18" s="19"/>
      <c r="BV18" s="20"/>
      <c r="BW18" s="20"/>
      <c r="BX18" s="21"/>
      <c r="BY18" s="11">
        <f t="shared" si="10"/>
        <v>0</v>
      </c>
      <c r="CA18" s="19"/>
      <c r="CB18" s="20"/>
      <c r="CC18" s="20"/>
      <c r="CD18" s="21"/>
      <c r="CE18" s="11">
        <f t="shared" si="18"/>
        <v>0</v>
      </c>
      <c r="CG18" s="19"/>
      <c r="CH18" s="20"/>
      <c r="CI18" s="20"/>
      <c r="CJ18" s="21"/>
      <c r="CK18" s="11">
        <f t="shared" si="19"/>
        <v>0</v>
      </c>
      <c r="CM18" s="40" t="s">
        <v>316</v>
      </c>
      <c r="CN18" s="1"/>
      <c r="CO18" s="72" t="s">
        <v>27</v>
      </c>
      <c r="CP18" s="73"/>
      <c r="CQ18" s="26">
        <f>+CQ17*1.145</f>
        <v>1.7862</v>
      </c>
    </row>
    <row r="19" spans="1:95" ht="15" thickBot="1" x14ac:dyDescent="0.35">
      <c r="A19" s="22"/>
      <c r="B19" s="23"/>
      <c r="C19" s="23"/>
      <c r="D19" s="24"/>
      <c r="E19" s="25"/>
      <c r="G19" s="22"/>
      <c r="H19" s="23"/>
      <c r="I19" s="23"/>
      <c r="J19" s="24"/>
      <c r="K19" s="25"/>
      <c r="M19" s="22"/>
      <c r="N19" s="23"/>
      <c r="O19" s="23"/>
      <c r="P19" s="24"/>
      <c r="Q19" s="25"/>
      <c r="S19" s="1"/>
      <c r="T19" s="1"/>
      <c r="U19" s="72" t="s">
        <v>28</v>
      </c>
      <c r="V19" s="73"/>
      <c r="W19" s="26">
        <v>12</v>
      </c>
      <c r="Y19" s="22"/>
      <c r="Z19" s="23"/>
      <c r="AA19" s="23"/>
      <c r="AB19" s="24"/>
      <c r="AC19" s="25"/>
      <c r="AK19" s="22"/>
      <c r="AL19" s="23"/>
      <c r="AM19" s="23"/>
      <c r="AN19" s="24"/>
      <c r="AO19" s="25"/>
      <c r="AQ19" s="22"/>
      <c r="AR19" s="23"/>
      <c r="AS19" s="23"/>
      <c r="AT19" s="24"/>
      <c r="AU19" s="25"/>
      <c r="AW19" s="22"/>
      <c r="AX19" s="23"/>
      <c r="AY19" s="23"/>
      <c r="AZ19" s="24"/>
      <c r="BA19" s="25"/>
      <c r="BC19" s="19"/>
      <c r="BD19" s="20"/>
      <c r="BE19" s="20"/>
      <c r="BF19" s="21"/>
      <c r="BG19" s="11"/>
      <c r="BI19" s="22"/>
      <c r="BJ19" s="23"/>
      <c r="BK19" s="23"/>
      <c r="BL19" s="24"/>
      <c r="BM19" s="25"/>
      <c r="BO19" s="22"/>
      <c r="BP19" s="23"/>
      <c r="BQ19" s="23"/>
      <c r="BR19" s="24"/>
      <c r="BS19" s="25"/>
      <c r="BU19" s="22"/>
      <c r="BV19" s="23"/>
      <c r="BW19" s="23"/>
      <c r="BX19" s="24"/>
      <c r="BY19" s="25"/>
      <c r="CA19" s="22"/>
      <c r="CB19" s="23"/>
      <c r="CC19" s="23"/>
      <c r="CD19" s="24"/>
      <c r="CE19" s="25"/>
      <c r="CG19" s="22"/>
      <c r="CH19" s="23"/>
      <c r="CI19" s="23"/>
      <c r="CJ19" s="24"/>
      <c r="CK19" s="25"/>
      <c r="CM19" s="1"/>
      <c r="CN19" s="1"/>
      <c r="CO19" s="72" t="s">
        <v>28</v>
      </c>
      <c r="CP19" s="73"/>
      <c r="CQ19" s="26">
        <v>20</v>
      </c>
    </row>
    <row r="20" spans="1:95" ht="15" thickBot="1" x14ac:dyDescent="0.35">
      <c r="A20" s="1"/>
      <c r="B20" s="1"/>
      <c r="C20" s="72" t="s">
        <v>26</v>
      </c>
      <c r="D20" s="73"/>
      <c r="E20" s="26">
        <f>SUM(E4:E19)</f>
        <v>2.8152699999999999</v>
      </c>
      <c r="G20" s="1"/>
      <c r="H20" s="1"/>
      <c r="I20" s="72" t="s">
        <v>26</v>
      </c>
      <c r="J20" s="73"/>
      <c r="K20" s="26">
        <f>SUM(K4:K19)</f>
        <v>2.4355000000000002</v>
      </c>
      <c r="M20" s="1"/>
      <c r="N20" s="1"/>
      <c r="O20" s="72" t="s">
        <v>26</v>
      </c>
      <c r="P20" s="73"/>
      <c r="Q20" s="26">
        <f>SUM(Q4:Q19)</f>
        <v>1.7287399999999997</v>
      </c>
      <c r="S20" s="1"/>
      <c r="T20" s="1"/>
      <c r="U20" s="72" t="s">
        <v>29</v>
      </c>
      <c r="V20" s="74"/>
      <c r="W20" s="27">
        <f>W18/W19*100</f>
        <v>19.250694166666669</v>
      </c>
      <c r="Y20" s="1"/>
      <c r="Z20" s="1"/>
      <c r="AA20" s="72" t="s">
        <v>26</v>
      </c>
      <c r="AB20" s="73"/>
      <c r="AC20" s="26">
        <f>SUM(AC4:AC19)</f>
        <v>3.3082400000000001</v>
      </c>
      <c r="AK20" s="1"/>
      <c r="AL20" s="1"/>
      <c r="AM20" s="72" t="s">
        <v>26</v>
      </c>
      <c r="AN20" s="73"/>
      <c r="AO20" s="26">
        <f>SUM(AO4:AO19)</f>
        <v>6.3900000000000006</v>
      </c>
      <c r="AQ20" s="1"/>
      <c r="AR20" s="1"/>
      <c r="AS20" s="72" t="s">
        <v>26</v>
      </c>
      <c r="AT20" s="73"/>
      <c r="AU20" s="26">
        <f>SUM(AU4:AU19)</f>
        <v>2.7795399999999995</v>
      </c>
      <c r="AW20" s="1"/>
      <c r="AX20" s="1"/>
      <c r="AY20" s="72" t="s">
        <v>26</v>
      </c>
      <c r="AZ20" s="73"/>
      <c r="BA20" s="26">
        <f>SUM(BA4:BA19)</f>
        <v>5.7085400000000002</v>
      </c>
      <c r="BC20" s="22"/>
      <c r="BD20" s="23"/>
      <c r="BE20" s="23"/>
      <c r="BF20" s="24"/>
      <c r="BG20" s="25"/>
      <c r="BI20" s="1"/>
      <c r="BJ20" s="1"/>
      <c r="BK20" s="72" t="s">
        <v>26</v>
      </c>
      <c r="BL20" s="73"/>
      <c r="BM20" s="26">
        <f>SUM(BM4:BM19)</f>
        <v>1.02765</v>
      </c>
      <c r="BO20" s="1"/>
      <c r="BP20" s="1"/>
      <c r="BQ20" s="72" t="s">
        <v>26</v>
      </c>
      <c r="BR20" s="73"/>
      <c r="BS20" s="26">
        <f>SUM(BS4:BS19)</f>
        <v>2.875</v>
      </c>
      <c r="BU20" s="1"/>
      <c r="BV20" s="1"/>
      <c r="BW20" s="72" t="s">
        <v>26</v>
      </c>
      <c r="BX20" s="73"/>
      <c r="BY20" s="26">
        <f>SUM(BY4:BY19)</f>
        <v>3.4295399999999994</v>
      </c>
      <c r="CA20" s="1"/>
      <c r="CB20" s="1"/>
      <c r="CC20" s="72" t="s">
        <v>26</v>
      </c>
      <c r="CD20" s="73"/>
      <c r="CE20" s="26">
        <f>SUM(CE4:CE19)</f>
        <v>1.42</v>
      </c>
      <c r="CG20" s="1"/>
      <c r="CH20" s="1"/>
      <c r="CI20" s="72" t="s">
        <v>26</v>
      </c>
      <c r="CJ20" s="73"/>
      <c r="CK20" s="26">
        <f>SUM(CK4:CK19)</f>
        <v>2.0882000000000001</v>
      </c>
      <c r="CM20" s="1"/>
      <c r="CN20" s="1"/>
      <c r="CO20" s="72" t="s">
        <v>29</v>
      </c>
      <c r="CP20" s="74"/>
      <c r="CQ20" s="27">
        <f>CQ18/CQ19*100</f>
        <v>8.9310000000000009</v>
      </c>
    </row>
    <row r="21" spans="1:95" ht="15" thickBot="1" x14ac:dyDescent="0.35">
      <c r="A21" s="1"/>
      <c r="B21" s="1"/>
      <c r="C21" s="72" t="s">
        <v>27</v>
      </c>
      <c r="D21" s="73"/>
      <c r="E21" s="26">
        <f>+E20*1.145</f>
        <v>3.22348415</v>
      </c>
      <c r="G21" s="1"/>
      <c r="H21" s="1"/>
      <c r="I21" s="72" t="s">
        <v>27</v>
      </c>
      <c r="J21" s="73"/>
      <c r="K21" s="26">
        <f>+K20*1.145</f>
        <v>2.7886475000000002</v>
      </c>
      <c r="M21" s="1"/>
      <c r="N21" s="1"/>
      <c r="O21" s="72" t="s">
        <v>27</v>
      </c>
      <c r="P21" s="73"/>
      <c r="Q21" s="26">
        <f>+Q20*1.145</f>
        <v>1.9794072999999996</v>
      </c>
      <c r="S21" s="1"/>
      <c r="T21" s="1"/>
      <c r="U21" s="1"/>
      <c r="V21" s="28" t="s">
        <v>30</v>
      </c>
      <c r="W21" s="16">
        <f>100-W20</f>
        <v>80.749305833333324</v>
      </c>
      <c r="Y21" s="1"/>
      <c r="Z21" s="1"/>
      <c r="AA21" s="72" t="s">
        <v>27</v>
      </c>
      <c r="AB21" s="73"/>
      <c r="AC21" s="26">
        <f>+AC20*1.145</f>
        <v>3.7879347999999999</v>
      </c>
      <c r="AK21" s="1"/>
      <c r="AL21" s="1"/>
      <c r="AM21" s="72" t="s">
        <v>27</v>
      </c>
      <c r="AN21" s="73"/>
      <c r="AO21" s="26">
        <f>+AO20*1.145</f>
        <v>7.3165500000000003</v>
      </c>
      <c r="AQ21" s="1"/>
      <c r="AR21" s="1"/>
      <c r="AS21" s="72" t="s">
        <v>27</v>
      </c>
      <c r="AT21" s="73"/>
      <c r="AU21" s="26">
        <f>+AU20*1.145</f>
        <v>3.1825732999999996</v>
      </c>
      <c r="AW21" s="1"/>
      <c r="AX21" s="1"/>
      <c r="AY21" s="72" t="s">
        <v>27</v>
      </c>
      <c r="AZ21" s="73"/>
      <c r="BA21" s="26">
        <f>+BA20*1.145</f>
        <v>6.5362783000000002</v>
      </c>
      <c r="BC21" s="1"/>
      <c r="BD21" s="1"/>
      <c r="BE21" s="72" t="s">
        <v>26</v>
      </c>
      <c r="BF21" s="73"/>
      <c r="BG21" s="26">
        <f>SUM(BG5:BG20)</f>
        <v>0.48849999999999999</v>
      </c>
      <c r="BI21" s="1"/>
      <c r="BJ21" s="1"/>
      <c r="BK21" s="72" t="s">
        <v>27</v>
      </c>
      <c r="BL21" s="73"/>
      <c r="BM21" s="26">
        <f>+BM20*1.145</f>
        <v>1.1766592499999999</v>
      </c>
      <c r="BO21" s="1"/>
      <c r="BP21" s="1"/>
      <c r="BQ21" s="72" t="s">
        <v>27</v>
      </c>
      <c r="BR21" s="73"/>
      <c r="BS21" s="26">
        <f>+BS20*1.145</f>
        <v>3.2918750000000001</v>
      </c>
      <c r="BU21" s="1"/>
      <c r="BV21" s="1"/>
      <c r="BW21" s="72" t="s">
        <v>27</v>
      </c>
      <c r="BX21" s="73"/>
      <c r="BY21" s="26">
        <f>+BY20*1.145</f>
        <v>3.9268232999999992</v>
      </c>
      <c r="CA21" s="1"/>
      <c r="CB21" s="1"/>
      <c r="CC21" s="72" t="s">
        <v>27</v>
      </c>
      <c r="CD21" s="73"/>
      <c r="CE21" s="26">
        <f>+CE20*1.145</f>
        <v>1.6258999999999999</v>
      </c>
      <c r="CG21" s="1"/>
      <c r="CH21" s="1"/>
      <c r="CI21" s="72" t="s">
        <v>27</v>
      </c>
      <c r="CJ21" s="73"/>
      <c r="CK21" s="26">
        <f>+CK20*1.145</f>
        <v>2.3909890000000003</v>
      </c>
      <c r="CM21" s="1"/>
      <c r="CN21" s="1"/>
      <c r="CO21" s="1"/>
      <c r="CP21" s="28" t="s">
        <v>30</v>
      </c>
      <c r="CQ21" s="16">
        <f>100-CQ20</f>
        <v>91.069000000000003</v>
      </c>
    </row>
    <row r="22" spans="1:95" ht="15" thickBot="1" x14ac:dyDescent="0.35">
      <c r="A22" s="1"/>
      <c r="B22" s="1"/>
      <c r="C22" s="72" t="s">
        <v>28</v>
      </c>
      <c r="D22" s="73"/>
      <c r="E22" s="26">
        <v>12</v>
      </c>
      <c r="G22" s="1"/>
      <c r="H22" s="1"/>
      <c r="I22" s="72" t="s">
        <v>28</v>
      </c>
      <c r="J22" s="73"/>
      <c r="K22" s="26">
        <v>9</v>
      </c>
      <c r="M22" s="1"/>
      <c r="N22" s="1"/>
      <c r="O22" s="72" t="s">
        <v>28</v>
      </c>
      <c r="P22" s="73"/>
      <c r="Q22" s="26">
        <v>10</v>
      </c>
      <c r="Y22" s="1"/>
      <c r="Z22" s="1"/>
      <c r="AA22" s="72" t="s">
        <v>28</v>
      </c>
      <c r="AB22" s="73"/>
      <c r="AC22" s="26">
        <v>16</v>
      </c>
      <c r="AK22" s="1"/>
      <c r="AL22" s="1"/>
      <c r="AM22" s="72" t="s">
        <v>28</v>
      </c>
      <c r="AN22" s="73"/>
      <c r="AO22" s="26">
        <v>20</v>
      </c>
      <c r="AQ22" s="1"/>
      <c r="AR22" s="1"/>
      <c r="AS22" s="72" t="s">
        <v>28</v>
      </c>
      <c r="AT22" s="73"/>
      <c r="AU22" s="26">
        <v>14</v>
      </c>
      <c r="AW22" s="1"/>
      <c r="AX22" s="1"/>
      <c r="AY22" s="72" t="s">
        <v>28</v>
      </c>
      <c r="AZ22" s="73"/>
      <c r="BA22" s="26">
        <v>22</v>
      </c>
      <c r="BC22" s="1"/>
      <c r="BD22" s="1"/>
      <c r="BE22" s="72" t="s">
        <v>27</v>
      </c>
      <c r="BF22" s="73"/>
      <c r="BG22" s="26">
        <f>+BG21*1.145</f>
        <v>0.55933250000000001</v>
      </c>
      <c r="BI22" s="1"/>
      <c r="BJ22" s="1"/>
      <c r="BK22" s="72" t="s">
        <v>28</v>
      </c>
      <c r="BL22" s="73"/>
      <c r="BM22" s="26">
        <v>6</v>
      </c>
      <c r="BO22" s="1"/>
      <c r="BP22" s="1"/>
      <c r="BQ22" s="72" t="s">
        <v>28</v>
      </c>
      <c r="BR22" s="73"/>
      <c r="BS22" s="26">
        <v>12</v>
      </c>
      <c r="BU22" s="1"/>
      <c r="BV22" s="1"/>
      <c r="BW22" s="72" t="s">
        <v>28</v>
      </c>
      <c r="BX22" s="73"/>
      <c r="BY22" s="26">
        <v>16</v>
      </c>
      <c r="CA22" s="1"/>
      <c r="CB22" s="1"/>
      <c r="CC22" s="72" t="s">
        <v>28</v>
      </c>
      <c r="CD22" s="73"/>
      <c r="CE22" s="26">
        <v>6</v>
      </c>
      <c r="CG22" s="1"/>
      <c r="CH22" s="1"/>
      <c r="CI22" s="72" t="s">
        <v>28</v>
      </c>
      <c r="CJ22" s="73"/>
      <c r="CK22" s="26">
        <v>6</v>
      </c>
    </row>
    <row r="23" spans="1:95" ht="15" thickBot="1" x14ac:dyDescent="0.35">
      <c r="A23" s="1"/>
      <c r="B23" s="1"/>
      <c r="C23" s="72" t="s">
        <v>29</v>
      </c>
      <c r="D23" s="74"/>
      <c r="E23" s="27">
        <f>E21/E22*100</f>
        <v>26.862367916666667</v>
      </c>
      <c r="G23" s="1"/>
      <c r="H23" s="1"/>
      <c r="I23" s="72" t="s">
        <v>29</v>
      </c>
      <c r="J23" s="74"/>
      <c r="K23" s="27">
        <f>K21/K22*100</f>
        <v>30.984972222222222</v>
      </c>
      <c r="M23" s="1"/>
      <c r="N23" s="1"/>
      <c r="O23" s="72" t="s">
        <v>29</v>
      </c>
      <c r="P23" s="74"/>
      <c r="Q23" s="27">
        <f>Q21/Q22*100</f>
        <v>19.794072999999994</v>
      </c>
      <c r="Y23" s="1"/>
      <c r="Z23" s="1"/>
      <c r="AA23" s="72" t="s">
        <v>29</v>
      </c>
      <c r="AB23" s="74"/>
      <c r="AC23" s="27">
        <f>AC21/AC22*100</f>
        <v>23.674592499999999</v>
      </c>
      <c r="AK23" s="1"/>
      <c r="AL23" s="1"/>
      <c r="AM23" s="72" t="s">
        <v>29</v>
      </c>
      <c r="AN23" s="74"/>
      <c r="AO23" s="27">
        <f>AO21/AO22*100</f>
        <v>36.582750000000004</v>
      </c>
      <c r="AQ23" s="1"/>
      <c r="AR23" s="1"/>
      <c r="AS23" s="72" t="s">
        <v>29</v>
      </c>
      <c r="AT23" s="74"/>
      <c r="AU23" s="27">
        <f>AU21/AU22*100</f>
        <v>22.732666428571427</v>
      </c>
      <c r="AW23" s="1"/>
      <c r="AX23" s="1"/>
      <c r="AY23" s="72" t="s">
        <v>29</v>
      </c>
      <c r="AZ23" s="74"/>
      <c r="BA23" s="27">
        <f>BA21/BA22*100</f>
        <v>29.710355909090907</v>
      </c>
      <c r="BC23" s="1"/>
      <c r="BD23" s="1"/>
      <c r="BE23" s="72" t="s">
        <v>28</v>
      </c>
      <c r="BF23" s="73"/>
      <c r="BG23" s="26">
        <v>2</v>
      </c>
      <c r="BI23" s="1"/>
      <c r="BJ23" s="1"/>
      <c r="BK23" s="72" t="s">
        <v>29</v>
      </c>
      <c r="BL23" s="74"/>
      <c r="BM23" s="27">
        <f>BM21/BM22*100</f>
        <v>19.6109875</v>
      </c>
      <c r="BO23" s="1"/>
      <c r="BP23" s="1"/>
      <c r="BQ23" s="72" t="s">
        <v>29</v>
      </c>
      <c r="BR23" s="74"/>
      <c r="BS23" s="27">
        <f>BS21/BS22*100</f>
        <v>27.432291666666668</v>
      </c>
      <c r="BU23" s="1"/>
      <c r="BV23" s="1"/>
      <c r="BW23" s="72" t="s">
        <v>29</v>
      </c>
      <c r="BX23" s="74"/>
      <c r="BY23" s="27">
        <f>BY21/BY22*100</f>
        <v>24.542645624999995</v>
      </c>
      <c r="CA23" s="1"/>
      <c r="CB23" s="1"/>
      <c r="CC23" s="72" t="s">
        <v>29</v>
      </c>
      <c r="CD23" s="74"/>
      <c r="CE23" s="27">
        <f>CE21/CE22*100</f>
        <v>27.098333333333329</v>
      </c>
      <c r="CG23" s="1"/>
      <c r="CH23" s="1"/>
      <c r="CI23" s="72" t="s">
        <v>29</v>
      </c>
      <c r="CJ23" s="74"/>
      <c r="CK23" s="27">
        <f>CK21/CK22*100</f>
        <v>39.849816666666669</v>
      </c>
    </row>
    <row r="24" spans="1:95" ht="15" thickBot="1" x14ac:dyDescent="0.35">
      <c r="A24" s="1"/>
      <c r="B24" s="1"/>
      <c r="C24" s="1"/>
      <c r="D24" s="28" t="s">
        <v>30</v>
      </c>
      <c r="E24" s="16">
        <f>100-E23</f>
        <v>73.13763208333333</v>
      </c>
      <c r="G24" s="1"/>
      <c r="H24" s="1"/>
      <c r="I24" s="1"/>
      <c r="J24" s="28" t="s">
        <v>30</v>
      </c>
      <c r="K24" s="16">
        <f>100-K23</f>
        <v>69.015027777777775</v>
      </c>
      <c r="M24" s="1"/>
      <c r="N24" s="1"/>
      <c r="O24" s="1"/>
      <c r="P24" s="28" t="s">
        <v>30</v>
      </c>
      <c r="Q24" s="16">
        <f>100-Q23</f>
        <v>80.205927000000003</v>
      </c>
      <c r="Y24" s="1"/>
      <c r="Z24" s="1"/>
      <c r="AA24" s="1"/>
      <c r="AB24" s="28" t="s">
        <v>30</v>
      </c>
      <c r="AC24" s="16">
        <f>100-AC23</f>
        <v>76.325407499999997</v>
      </c>
      <c r="AK24" s="1"/>
      <c r="AL24" s="1"/>
      <c r="AM24" s="1"/>
      <c r="AN24" s="28" t="s">
        <v>30</v>
      </c>
      <c r="AO24" s="16">
        <f>100-AO23</f>
        <v>63.417249999999996</v>
      </c>
      <c r="AQ24" s="1"/>
      <c r="AR24" s="1"/>
      <c r="AS24" s="1"/>
      <c r="AT24" s="28" t="s">
        <v>30</v>
      </c>
      <c r="AU24" s="16">
        <f>100-AU23</f>
        <v>77.267333571428566</v>
      </c>
      <c r="AW24" s="1"/>
      <c r="AX24" s="1"/>
      <c r="AY24" s="1"/>
      <c r="AZ24" s="28" t="s">
        <v>30</v>
      </c>
      <c r="BA24" s="16">
        <f>100-BA23</f>
        <v>70.289644090909093</v>
      </c>
      <c r="BC24" s="1"/>
      <c r="BD24" s="1"/>
      <c r="BE24" s="72" t="s">
        <v>29</v>
      </c>
      <c r="BF24" s="74"/>
      <c r="BG24" s="27">
        <f>BG22/BG23*100</f>
        <v>27.966625000000001</v>
      </c>
      <c r="BI24" s="1"/>
      <c r="BJ24" s="1"/>
      <c r="BK24" s="1"/>
      <c r="BL24" s="28" t="s">
        <v>30</v>
      </c>
      <c r="BM24" s="16">
        <f>100-BM23</f>
        <v>80.389012500000007</v>
      </c>
      <c r="BO24" s="1"/>
      <c r="BP24" s="1"/>
      <c r="BQ24" s="1"/>
      <c r="BR24" s="28" t="s">
        <v>30</v>
      </c>
      <c r="BS24" s="16">
        <f>100-BS23</f>
        <v>72.567708333333329</v>
      </c>
      <c r="BU24" s="1"/>
      <c r="BV24" s="1"/>
      <c r="BW24" s="1"/>
      <c r="BX24" s="28" t="s">
        <v>30</v>
      </c>
      <c r="BY24" s="16">
        <f>100-BY23</f>
        <v>75.457354375000008</v>
      </c>
      <c r="CA24" s="1"/>
      <c r="CB24" s="1"/>
      <c r="CC24" s="1"/>
      <c r="CD24" s="28" t="s">
        <v>30</v>
      </c>
      <c r="CE24" s="16">
        <f>100-CE23</f>
        <v>72.901666666666671</v>
      </c>
      <c r="CG24" s="1"/>
      <c r="CH24" s="1"/>
      <c r="CI24" s="1"/>
      <c r="CJ24" s="28" t="s">
        <v>30</v>
      </c>
      <c r="CK24" s="16">
        <f>100-CK23</f>
        <v>60.150183333333331</v>
      </c>
    </row>
    <row r="25" spans="1:95" x14ac:dyDescent="0.3">
      <c r="BC25" s="1"/>
      <c r="BD25" s="1"/>
      <c r="BE25" s="1"/>
      <c r="BF25" s="28" t="s">
        <v>30</v>
      </c>
      <c r="BG25" s="16">
        <f>100-BG24</f>
        <v>72.033375000000007</v>
      </c>
    </row>
    <row r="26" spans="1:95" ht="15" thickBot="1" x14ac:dyDescent="0.35"/>
    <row r="27" spans="1:95" ht="15" thickBot="1" x14ac:dyDescent="0.35">
      <c r="A27" s="69" t="s">
        <v>352</v>
      </c>
      <c r="B27" s="70"/>
      <c r="C27" s="70"/>
      <c r="D27" s="70"/>
      <c r="E27" s="71"/>
      <c r="H27" s="69" t="s">
        <v>244</v>
      </c>
      <c r="I27" s="70"/>
      <c r="J27" s="70"/>
      <c r="K27" s="70"/>
      <c r="L27" s="71"/>
      <c r="N27" s="69" t="s">
        <v>392</v>
      </c>
      <c r="O27" s="70"/>
      <c r="P27" s="70"/>
      <c r="Q27" s="70"/>
      <c r="R27" s="71"/>
      <c r="T27" s="69" t="s">
        <v>356</v>
      </c>
      <c r="U27" s="70"/>
      <c r="V27" s="70"/>
      <c r="W27" s="70"/>
      <c r="X27" s="71"/>
      <c r="Z27" s="69" t="s">
        <v>393</v>
      </c>
      <c r="AA27" s="70"/>
      <c r="AB27" s="70"/>
      <c r="AC27" s="70"/>
      <c r="AD27" s="71"/>
      <c r="CA27" s="69" t="s">
        <v>370</v>
      </c>
      <c r="CB27" s="70"/>
      <c r="CC27" s="70"/>
      <c r="CD27" s="70"/>
      <c r="CE27" s="71"/>
    </row>
    <row r="28" spans="1:95" ht="15" thickBot="1" x14ac:dyDescent="0.35">
      <c r="A28" s="2" t="s">
        <v>3</v>
      </c>
      <c r="B28" s="3" t="s">
        <v>4</v>
      </c>
      <c r="C28" s="3" t="s">
        <v>5</v>
      </c>
      <c r="D28" s="4" t="s">
        <v>6</v>
      </c>
      <c r="E28" s="5" t="s">
        <v>7</v>
      </c>
      <c r="H28" s="2" t="s">
        <v>3</v>
      </c>
      <c r="I28" s="3" t="s">
        <v>4</v>
      </c>
      <c r="J28" s="3" t="s">
        <v>5</v>
      </c>
      <c r="K28" s="4" t="s">
        <v>6</v>
      </c>
      <c r="L28" s="5"/>
      <c r="N28" s="51" t="s">
        <v>3</v>
      </c>
      <c r="O28" s="6" t="s">
        <v>4</v>
      </c>
      <c r="P28" s="6" t="s">
        <v>5</v>
      </c>
      <c r="Q28" s="52" t="s">
        <v>6</v>
      </c>
      <c r="R28" s="53" t="s">
        <v>7</v>
      </c>
      <c r="T28" s="2" t="s">
        <v>3</v>
      </c>
      <c r="U28" s="3" t="s">
        <v>4</v>
      </c>
      <c r="V28" s="3" t="s">
        <v>5</v>
      </c>
      <c r="W28" s="4" t="s">
        <v>6</v>
      </c>
      <c r="X28" s="5" t="s">
        <v>7</v>
      </c>
      <c r="Z28" s="2" t="s">
        <v>3</v>
      </c>
      <c r="AA28" s="3" t="s">
        <v>4</v>
      </c>
      <c r="AB28" s="3" t="s">
        <v>5</v>
      </c>
      <c r="AC28" s="4" t="s">
        <v>6</v>
      </c>
      <c r="AD28" s="5" t="s">
        <v>7</v>
      </c>
      <c r="CA28" s="2" t="s">
        <v>3</v>
      </c>
      <c r="CB28" s="3" t="s">
        <v>4</v>
      </c>
      <c r="CC28" s="3" t="s">
        <v>5</v>
      </c>
      <c r="CD28" s="4" t="s">
        <v>6</v>
      </c>
      <c r="CE28" s="5" t="s">
        <v>7</v>
      </c>
    </row>
    <row r="29" spans="1:95" x14ac:dyDescent="0.3">
      <c r="A29" s="7" t="s">
        <v>281</v>
      </c>
      <c r="B29" s="8" t="s">
        <v>34</v>
      </c>
      <c r="C29" s="9">
        <v>45.75</v>
      </c>
      <c r="D29" s="10">
        <v>0.03</v>
      </c>
      <c r="E29" s="11">
        <f t="shared" ref="E29:E43" si="20">+D29*C29</f>
        <v>1.3725000000000001</v>
      </c>
      <c r="H29" s="7" t="s">
        <v>244</v>
      </c>
      <c r="I29" s="8" t="s">
        <v>34</v>
      </c>
      <c r="J29" s="9">
        <v>11</v>
      </c>
      <c r="K29" s="10">
        <v>0.2</v>
      </c>
      <c r="L29" s="11">
        <f t="shared" ref="L29:L43" si="21">+K29*J29</f>
        <v>2.2000000000000002</v>
      </c>
      <c r="N29" s="14"/>
      <c r="O29" s="14"/>
      <c r="P29" s="14"/>
      <c r="Q29" s="14"/>
      <c r="R29" s="14"/>
      <c r="T29" s="7" t="s">
        <v>122</v>
      </c>
      <c r="U29" s="8" t="s">
        <v>34</v>
      </c>
      <c r="V29" s="9">
        <v>11.5</v>
      </c>
      <c r="W29" s="10">
        <v>0.2</v>
      </c>
      <c r="X29" s="11">
        <f t="shared" ref="X29:X34" si="22">+W29*V29</f>
        <v>2.3000000000000003</v>
      </c>
      <c r="Z29" s="7" t="s">
        <v>123</v>
      </c>
      <c r="AA29" s="8" t="s">
        <v>34</v>
      </c>
      <c r="AB29" s="9">
        <v>5.34</v>
      </c>
      <c r="AC29" s="10">
        <v>0.2</v>
      </c>
      <c r="AD29" s="11">
        <f t="shared" ref="AD29:AD37" si="23">+AC29*AB29</f>
        <v>1.0680000000000001</v>
      </c>
      <c r="CA29" s="7" t="s">
        <v>120</v>
      </c>
      <c r="CB29" s="8" t="s">
        <v>34</v>
      </c>
      <c r="CC29" s="9">
        <v>1</v>
      </c>
      <c r="CD29" s="10">
        <v>1</v>
      </c>
      <c r="CE29" s="11">
        <v>0.5</v>
      </c>
    </row>
    <row r="30" spans="1:95" x14ac:dyDescent="0.3">
      <c r="A30" s="15" t="s">
        <v>282</v>
      </c>
      <c r="B30" s="16"/>
      <c r="C30" s="17">
        <v>9.6</v>
      </c>
      <c r="D30" s="18">
        <v>0.03</v>
      </c>
      <c r="E30" s="11">
        <f t="shared" si="20"/>
        <v>0.28799999999999998</v>
      </c>
      <c r="H30" s="15"/>
      <c r="I30" s="16"/>
      <c r="J30" s="17"/>
      <c r="K30" s="18"/>
      <c r="L30" s="11"/>
      <c r="N30" s="7" t="s">
        <v>131</v>
      </c>
      <c r="O30" s="8" t="s">
        <v>128</v>
      </c>
      <c r="P30" s="9">
        <v>0.5</v>
      </c>
      <c r="Q30" s="10">
        <v>1</v>
      </c>
      <c r="R30" s="11">
        <f t="shared" ref="R30:R43" si="24">+Q30*P30</f>
        <v>0.5</v>
      </c>
      <c r="T30" s="15" t="s">
        <v>146</v>
      </c>
      <c r="U30" s="16" t="s">
        <v>11</v>
      </c>
      <c r="V30" s="17">
        <v>8.6999999999999993</v>
      </c>
      <c r="W30" s="18">
        <v>5.0000000000000001E-3</v>
      </c>
      <c r="X30" s="11">
        <f t="shared" si="22"/>
        <v>4.3499999999999997E-2</v>
      </c>
      <c r="Z30" s="15" t="s">
        <v>150</v>
      </c>
      <c r="AA30" s="16" t="s">
        <v>9</v>
      </c>
      <c r="AB30" s="17">
        <v>1.5</v>
      </c>
      <c r="AC30" s="18">
        <v>0.03</v>
      </c>
      <c r="AD30" s="11">
        <f t="shared" si="23"/>
        <v>4.4999999999999998E-2</v>
      </c>
      <c r="CA30" s="15" t="s">
        <v>369</v>
      </c>
      <c r="CB30" s="16" t="s">
        <v>11</v>
      </c>
      <c r="CC30" s="17">
        <v>12.84</v>
      </c>
      <c r="CD30" s="18">
        <v>0.05</v>
      </c>
      <c r="CE30" s="11">
        <f t="shared" ref="CE30:CE43" si="25">+CD30*CC30</f>
        <v>0.64200000000000002</v>
      </c>
    </row>
    <row r="31" spans="1:95" x14ac:dyDescent="0.3">
      <c r="A31" s="15" t="s">
        <v>351</v>
      </c>
      <c r="B31" s="16"/>
      <c r="C31" s="17">
        <v>0.5</v>
      </c>
      <c r="D31" s="18">
        <v>1</v>
      </c>
      <c r="E31" s="11">
        <f t="shared" si="20"/>
        <v>0.5</v>
      </c>
      <c r="H31" s="15" t="s">
        <v>156</v>
      </c>
      <c r="I31" s="16"/>
      <c r="J31" s="17">
        <v>1.8</v>
      </c>
      <c r="K31" s="18">
        <v>0.01</v>
      </c>
      <c r="L31" s="11">
        <f t="shared" si="21"/>
        <v>1.8000000000000002E-2</v>
      </c>
      <c r="N31" s="15" t="s">
        <v>141</v>
      </c>
      <c r="O31" s="16" t="s">
        <v>34</v>
      </c>
      <c r="P31" s="17">
        <v>0.6</v>
      </c>
      <c r="Q31" s="18">
        <v>0.1</v>
      </c>
      <c r="R31" s="11">
        <f t="shared" si="24"/>
        <v>0.06</v>
      </c>
      <c r="T31" s="15" t="s">
        <v>149</v>
      </c>
      <c r="U31" s="16" t="s">
        <v>11</v>
      </c>
      <c r="V31" s="17">
        <v>3.38</v>
      </c>
      <c r="W31" s="18">
        <v>5.0000000000000001E-3</v>
      </c>
      <c r="X31" s="11">
        <f t="shared" si="22"/>
        <v>1.6899999999999998E-2</v>
      </c>
      <c r="Z31" s="15" t="s">
        <v>349</v>
      </c>
      <c r="AA31" s="16"/>
      <c r="AB31" s="17">
        <v>0.6</v>
      </c>
      <c r="AC31" s="18">
        <v>0.1</v>
      </c>
      <c r="AD31" s="11">
        <f t="shared" si="23"/>
        <v>0.06</v>
      </c>
      <c r="CA31" s="15"/>
      <c r="CB31" s="16"/>
      <c r="CC31" s="17"/>
      <c r="CD31" s="18"/>
      <c r="CE31" s="11"/>
    </row>
    <row r="32" spans="1:95" x14ac:dyDescent="0.3">
      <c r="A32" s="15"/>
      <c r="B32" s="16"/>
      <c r="C32" s="17"/>
      <c r="D32" s="18"/>
      <c r="E32" s="11"/>
      <c r="H32" s="15" t="s">
        <v>167</v>
      </c>
      <c r="I32" s="16"/>
      <c r="J32" s="17">
        <v>11</v>
      </c>
      <c r="K32" s="18">
        <v>2E-3</v>
      </c>
      <c r="L32" s="11">
        <f t="shared" si="21"/>
        <v>2.1999999999999999E-2</v>
      </c>
      <c r="N32" s="15" t="s">
        <v>146</v>
      </c>
      <c r="O32" s="16" t="s">
        <v>11</v>
      </c>
      <c r="P32" s="17">
        <v>8.6999999999999993</v>
      </c>
      <c r="Q32" s="18">
        <v>0.01</v>
      </c>
      <c r="R32" s="11">
        <f t="shared" si="24"/>
        <v>8.6999999999999994E-2</v>
      </c>
      <c r="T32" s="15" t="s">
        <v>98</v>
      </c>
      <c r="U32" s="16"/>
      <c r="V32" s="17">
        <v>12.8</v>
      </c>
      <c r="W32" s="18">
        <v>5.0000000000000001E-3</v>
      </c>
      <c r="X32" s="11">
        <f t="shared" si="22"/>
        <v>6.4000000000000001E-2</v>
      </c>
      <c r="Z32" s="19" t="s">
        <v>154</v>
      </c>
      <c r="AA32" s="20" t="s">
        <v>38</v>
      </c>
      <c r="AB32" s="20">
        <v>1.5</v>
      </c>
      <c r="AC32" s="21">
        <v>0.01</v>
      </c>
      <c r="AD32" s="11">
        <f t="shared" si="23"/>
        <v>1.4999999999999999E-2</v>
      </c>
      <c r="CA32" s="15"/>
      <c r="CB32" s="16"/>
      <c r="CC32" s="17"/>
      <c r="CD32" s="18"/>
      <c r="CE32" s="11"/>
    </row>
    <row r="33" spans="1:83" x14ac:dyDescent="0.3">
      <c r="A33" s="15" t="s">
        <v>248</v>
      </c>
      <c r="B33" s="16"/>
      <c r="C33" s="17"/>
      <c r="D33" s="18">
        <v>0</v>
      </c>
      <c r="E33" s="11">
        <f t="shared" si="20"/>
        <v>0</v>
      </c>
      <c r="H33" s="15" t="s">
        <v>246</v>
      </c>
      <c r="I33" s="16"/>
      <c r="J33" s="17">
        <v>1</v>
      </c>
      <c r="K33" s="18">
        <v>0.2</v>
      </c>
      <c r="L33" s="11">
        <f t="shared" si="21"/>
        <v>0.2</v>
      </c>
      <c r="N33" s="15" t="s">
        <v>149</v>
      </c>
      <c r="O33" s="16" t="s">
        <v>11</v>
      </c>
      <c r="P33" s="17">
        <v>3.38</v>
      </c>
      <c r="Q33" s="18">
        <v>3.0000000000000001E-3</v>
      </c>
      <c r="R33" s="11">
        <f t="shared" si="24"/>
        <v>1.014E-2</v>
      </c>
      <c r="T33" s="15" t="s">
        <v>248</v>
      </c>
      <c r="U33" s="16"/>
      <c r="V33" s="17">
        <v>0.3</v>
      </c>
      <c r="W33" s="18">
        <v>5.0000000000000001E-3</v>
      </c>
      <c r="X33" s="11">
        <f t="shared" si="22"/>
        <v>1.5E-3</v>
      </c>
      <c r="Z33" s="15" t="s">
        <v>142</v>
      </c>
      <c r="AA33" s="16" t="s">
        <v>9</v>
      </c>
      <c r="AB33" s="17">
        <v>0.15</v>
      </c>
      <c r="AC33" s="18">
        <v>0.2</v>
      </c>
      <c r="AD33" s="11">
        <f t="shared" si="23"/>
        <v>0.03</v>
      </c>
      <c r="CA33" s="15"/>
      <c r="CB33" s="16"/>
      <c r="CC33" s="17"/>
      <c r="CD33" s="18"/>
      <c r="CE33" s="11"/>
    </row>
    <row r="34" spans="1:83" x14ac:dyDescent="0.3">
      <c r="A34" s="15"/>
      <c r="B34" s="16"/>
      <c r="C34" s="17"/>
      <c r="D34" s="18"/>
      <c r="E34" s="11">
        <f t="shared" si="20"/>
        <v>0</v>
      </c>
      <c r="H34" s="15" t="s">
        <v>353</v>
      </c>
      <c r="I34" s="16"/>
      <c r="J34" s="17">
        <v>0.8</v>
      </c>
      <c r="K34" s="18">
        <v>0.1</v>
      </c>
      <c r="L34" s="11">
        <f t="shared" si="21"/>
        <v>8.0000000000000016E-2</v>
      </c>
      <c r="N34" s="15" t="s">
        <v>157</v>
      </c>
      <c r="O34" s="16" t="s">
        <v>11</v>
      </c>
      <c r="P34" s="17">
        <v>3.83</v>
      </c>
      <c r="Q34" s="18">
        <v>0.03</v>
      </c>
      <c r="R34" s="11">
        <f t="shared" si="24"/>
        <v>0.1149</v>
      </c>
      <c r="T34" s="19" t="s">
        <v>91</v>
      </c>
      <c r="U34" s="20" t="s">
        <v>128</v>
      </c>
      <c r="V34" s="20">
        <v>0.15</v>
      </c>
      <c r="W34" s="21">
        <v>1</v>
      </c>
      <c r="X34" s="11">
        <f t="shared" si="22"/>
        <v>0.15</v>
      </c>
      <c r="Z34" s="15" t="s">
        <v>8</v>
      </c>
      <c r="AA34" s="16" t="s">
        <v>9</v>
      </c>
      <c r="AB34" s="17">
        <v>8.6999999999999993</v>
      </c>
      <c r="AC34" s="18">
        <v>0.03</v>
      </c>
      <c r="AD34" s="11">
        <f t="shared" si="23"/>
        <v>0.26099999999999995</v>
      </c>
      <c r="CA34" s="15"/>
      <c r="CB34" s="16"/>
      <c r="CC34" s="17"/>
      <c r="CD34" s="18"/>
      <c r="CE34" s="11"/>
    </row>
    <row r="35" spans="1:83" x14ac:dyDescent="0.3">
      <c r="A35" s="15"/>
      <c r="B35" s="16"/>
      <c r="C35" s="17"/>
      <c r="D35" s="18"/>
      <c r="E35" s="11">
        <f t="shared" si="20"/>
        <v>0</v>
      </c>
      <c r="H35" s="15"/>
      <c r="I35" s="16"/>
      <c r="J35" s="17"/>
      <c r="K35" s="18"/>
      <c r="L35" s="11">
        <f t="shared" si="21"/>
        <v>0</v>
      </c>
      <c r="N35" s="15" t="s">
        <v>165</v>
      </c>
      <c r="O35" s="16" t="s">
        <v>11</v>
      </c>
      <c r="P35" s="17">
        <v>1</v>
      </c>
      <c r="Q35" s="18">
        <v>0.02</v>
      </c>
      <c r="R35" s="11">
        <f t="shared" si="24"/>
        <v>0.02</v>
      </c>
      <c r="T35" s="15" t="s">
        <v>170</v>
      </c>
      <c r="U35" s="16" t="s">
        <v>11</v>
      </c>
      <c r="V35" s="17">
        <v>1.8</v>
      </c>
      <c r="W35" s="18">
        <v>0.25</v>
      </c>
      <c r="X35" s="11">
        <f t="shared" ref="X35" si="26">+W35*V35</f>
        <v>0.45</v>
      </c>
      <c r="Z35" s="19" t="s">
        <v>166</v>
      </c>
      <c r="AA35" s="20" t="s">
        <v>9</v>
      </c>
      <c r="AB35" s="20">
        <v>0.02</v>
      </c>
      <c r="AC35" s="21">
        <v>2E-3</v>
      </c>
      <c r="AD35" s="11">
        <f t="shared" si="23"/>
        <v>4.0000000000000003E-5</v>
      </c>
      <c r="CA35" s="15"/>
      <c r="CB35" s="16"/>
      <c r="CC35" s="17"/>
      <c r="CD35" s="18"/>
      <c r="CE35" s="11"/>
    </row>
    <row r="36" spans="1:83" x14ac:dyDescent="0.3">
      <c r="A36" s="15"/>
      <c r="B36" s="16"/>
      <c r="C36" s="17" t="s">
        <v>284</v>
      </c>
      <c r="D36" s="18"/>
      <c r="E36" s="11"/>
      <c r="H36" s="15"/>
      <c r="I36" s="16"/>
      <c r="J36" s="17"/>
      <c r="K36" s="18"/>
      <c r="L36" s="11">
        <f t="shared" si="21"/>
        <v>0</v>
      </c>
      <c r="N36" s="15" t="s">
        <v>170</v>
      </c>
      <c r="O36" s="16" t="s">
        <v>11</v>
      </c>
      <c r="P36" s="17">
        <v>1.8</v>
      </c>
      <c r="Q36" s="18">
        <v>0.25</v>
      </c>
      <c r="R36" s="11">
        <f t="shared" si="24"/>
        <v>0.45</v>
      </c>
      <c r="T36" s="15"/>
      <c r="U36" s="16"/>
      <c r="V36" s="17"/>
      <c r="W36" s="18"/>
      <c r="X36" s="11"/>
      <c r="Z36" s="19" t="s">
        <v>152</v>
      </c>
      <c r="AA36" s="20" t="s">
        <v>9</v>
      </c>
      <c r="AB36" s="20">
        <v>3</v>
      </c>
      <c r="AC36" s="21">
        <v>0.15</v>
      </c>
      <c r="AD36" s="11">
        <f t="shared" si="23"/>
        <v>0.44999999999999996</v>
      </c>
      <c r="CA36" s="15"/>
      <c r="CB36" s="16"/>
      <c r="CC36" s="17"/>
      <c r="CD36" s="18"/>
      <c r="CE36" s="11">
        <f t="shared" si="25"/>
        <v>0</v>
      </c>
    </row>
    <row r="37" spans="1:83" x14ac:dyDescent="0.3">
      <c r="A37" s="19"/>
      <c r="B37" s="20"/>
      <c r="C37" s="20"/>
      <c r="D37" s="21"/>
      <c r="E37" s="11">
        <f t="shared" si="20"/>
        <v>0</v>
      </c>
      <c r="H37" s="19"/>
      <c r="I37" s="20"/>
      <c r="J37" s="20"/>
      <c r="K37" s="21"/>
      <c r="L37" s="11">
        <f t="shared" si="21"/>
        <v>0</v>
      </c>
      <c r="N37" s="19" t="s">
        <v>154</v>
      </c>
      <c r="O37" s="20" t="s">
        <v>44</v>
      </c>
      <c r="P37" s="20">
        <v>1.5</v>
      </c>
      <c r="Q37" s="21">
        <v>0.01</v>
      </c>
      <c r="R37" s="11">
        <f t="shared" si="24"/>
        <v>1.4999999999999999E-2</v>
      </c>
      <c r="T37" s="19"/>
      <c r="U37" s="20"/>
      <c r="V37" s="20"/>
      <c r="W37" s="21"/>
      <c r="X37" s="11"/>
      <c r="Z37" s="19" t="s">
        <v>167</v>
      </c>
      <c r="AA37" s="20" t="s">
        <v>9</v>
      </c>
      <c r="AB37" s="20">
        <v>11</v>
      </c>
      <c r="AC37" s="21">
        <v>2E-3</v>
      </c>
      <c r="AD37" s="11">
        <f t="shared" si="23"/>
        <v>2.1999999999999999E-2</v>
      </c>
      <c r="CA37" s="19"/>
      <c r="CB37" s="20"/>
      <c r="CC37" s="20"/>
      <c r="CD37" s="21"/>
      <c r="CE37" s="11">
        <f t="shared" si="25"/>
        <v>0</v>
      </c>
    </row>
    <row r="38" spans="1:83" x14ac:dyDescent="0.3">
      <c r="A38" s="19"/>
      <c r="B38" s="20"/>
      <c r="C38" s="20"/>
      <c r="D38" s="21"/>
      <c r="E38" s="11">
        <f t="shared" si="20"/>
        <v>0</v>
      </c>
      <c r="H38" s="19"/>
      <c r="I38" s="20"/>
      <c r="J38" s="20"/>
      <c r="K38" s="21"/>
      <c r="L38" s="11">
        <f t="shared" si="21"/>
        <v>0</v>
      </c>
      <c r="N38" s="19" t="s">
        <v>8</v>
      </c>
      <c r="O38" s="20" t="s">
        <v>11</v>
      </c>
      <c r="P38" s="20">
        <v>8.6999999999999993</v>
      </c>
      <c r="Q38" s="21">
        <v>0.03</v>
      </c>
      <c r="R38" s="11">
        <f t="shared" si="24"/>
        <v>0.26099999999999995</v>
      </c>
      <c r="T38" s="19"/>
      <c r="U38" s="20"/>
      <c r="V38" s="20"/>
      <c r="W38" s="21"/>
      <c r="X38" s="11"/>
      <c r="Z38" s="19"/>
      <c r="AA38" s="20"/>
      <c r="AB38" s="20"/>
      <c r="AC38" s="21"/>
      <c r="AD38" s="11"/>
      <c r="CA38" s="19"/>
      <c r="CB38" s="20"/>
      <c r="CC38" s="20"/>
      <c r="CD38" s="21"/>
      <c r="CE38" s="11">
        <f t="shared" si="25"/>
        <v>0</v>
      </c>
    </row>
    <row r="39" spans="1:83" ht="15" thickBot="1" x14ac:dyDescent="0.35">
      <c r="A39" s="19"/>
      <c r="B39" s="20"/>
      <c r="C39" s="20"/>
      <c r="D39" s="21"/>
      <c r="E39" s="11">
        <f t="shared" si="20"/>
        <v>0</v>
      </c>
      <c r="H39" s="19"/>
      <c r="I39" s="20"/>
      <c r="J39" s="20"/>
      <c r="K39" s="21"/>
      <c r="L39" s="11">
        <f t="shared" si="21"/>
        <v>0</v>
      </c>
      <c r="N39" s="7" t="s">
        <v>134</v>
      </c>
      <c r="O39" s="8"/>
      <c r="P39" s="9">
        <v>5.34</v>
      </c>
      <c r="Q39" s="10">
        <v>0.15</v>
      </c>
      <c r="R39" s="11">
        <f t="shared" si="24"/>
        <v>0.80099999999999993</v>
      </c>
      <c r="T39" s="19"/>
      <c r="U39" s="20"/>
      <c r="V39" s="20"/>
      <c r="W39" s="21"/>
      <c r="X39" s="11"/>
      <c r="Z39" s="22"/>
      <c r="AA39" s="23"/>
      <c r="AB39" s="23"/>
      <c r="AC39" s="24"/>
      <c r="AD39" s="25"/>
      <c r="CA39" s="19"/>
      <c r="CB39" s="20"/>
      <c r="CC39" s="20"/>
      <c r="CD39" s="21"/>
      <c r="CE39" s="11">
        <f t="shared" si="25"/>
        <v>0</v>
      </c>
    </row>
    <row r="40" spans="1:83" ht="15" thickBot="1" x14ac:dyDescent="0.35">
      <c r="A40" s="19"/>
      <c r="B40" s="20"/>
      <c r="C40" s="20"/>
      <c r="D40" s="21"/>
      <c r="E40" s="11">
        <f t="shared" si="20"/>
        <v>0</v>
      </c>
      <c r="H40" s="19"/>
      <c r="I40" s="20"/>
      <c r="J40" s="20"/>
      <c r="K40" s="21"/>
      <c r="L40" s="11">
        <f t="shared" si="21"/>
        <v>0</v>
      </c>
      <c r="N40" s="19"/>
      <c r="O40" s="20"/>
      <c r="P40" s="20"/>
      <c r="Q40" s="21"/>
      <c r="R40" s="11"/>
      <c r="T40" s="19"/>
      <c r="U40" s="20"/>
      <c r="V40" s="20"/>
      <c r="W40" s="21"/>
      <c r="X40" s="11"/>
      <c r="Z40" s="1"/>
      <c r="AA40" s="1"/>
      <c r="AB40" s="72" t="s">
        <v>26</v>
      </c>
      <c r="AC40" s="73"/>
      <c r="AD40" s="26">
        <f>SUM(AD29:AD39)</f>
        <v>1.9510399999999999</v>
      </c>
      <c r="CA40" s="19"/>
      <c r="CB40" s="20"/>
      <c r="CC40" s="20"/>
      <c r="CD40" s="21"/>
      <c r="CE40" s="11">
        <f t="shared" si="25"/>
        <v>0</v>
      </c>
    </row>
    <row r="41" spans="1:83" ht="15" thickBot="1" x14ac:dyDescent="0.35">
      <c r="A41" s="19"/>
      <c r="B41" s="20"/>
      <c r="C41" s="20"/>
      <c r="D41" s="21"/>
      <c r="E41" s="11">
        <f t="shared" si="20"/>
        <v>0</v>
      </c>
      <c r="H41" s="19"/>
      <c r="I41" s="20"/>
      <c r="J41" s="20"/>
      <c r="K41" s="21"/>
      <c r="L41" s="11">
        <f t="shared" si="21"/>
        <v>0</v>
      </c>
      <c r="N41" s="19"/>
      <c r="O41" s="20"/>
      <c r="P41" s="20"/>
      <c r="Q41" s="21"/>
      <c r="R41" s="11">
        <f t="shared" si="24"/>
        <v>0</v>
      </c>
      <c r="T41" s="19"/>
      <c r="U41" s="20"/>
      <c r="V41" s="20"/>
      <c r="W41" s="21"/>
      <c r="X41" s="11">
        <f t="shared" ref="X41:X43" si="27">+W41*V41</f>
        <v>0</v>
      </c>
      <c r="Z41" s="1"/>
      <c r="AA41" s="1"/>
      <c r="AB41" s="72" t="s">
        <v>27</v>
      </c>
      <c r="AC41" s="73"/>
      <c r="AD41" s="26">
        <f>+AD40*1.145</f>
        <v>2.2339408000000001</v>
      </c>
      <c r="CA41" s="19"/>
      <c r="CB41" s="20"/>
      <c r="CC41" s="20"/>
      <c r="CD41" s="21"/>
      <c r="CE41" s="11">
        <f t="shared" si="25"/>
        <v>0</v>
      </c>
    </row>
    <row r="42" spans="1:83" ht="15" thickBot="1" x14ac:dyDescent="0.35">
      <c r="A42" s="19"/>
      <c r="B42" s="20"/>
      <c r="C42" s="20"/>
      <c r="D42" s="21"/>
      <c r="E42" s="11">
        <f t="shared" si="20"/>
        <v>0</v>
      </c>
      <c r="H42" s="19"/>
      <c r="I42" s="20"/>
      <c r="J42" s="20"/>
      <c r="K42" s="21"/>
      <c r="L42" s="11">
        <f t="shared" si="21"/>
        <v>0</v>
      </c>
      <c r="N42" s="19"/>
      <c r="O42" s="20"/>
      <c r="P42" s="20"/>
      <c r="Q42" s="21"/>
      <c r="R42" s="11">
        <f t="shared" si="24"/>
        <v>0</v>
      </c>
      <c r="T42" s="19"/>
      <c r="U42" s="20"/>
      <c r="V42" s="20"/>
      <c r="W42" s="21"/>
      <c r="X42" s="11">
        <f t="shared" si="27"/>
        <v>0</v>
      </c>
      <c r="Z42" s="1"/>
      <c r="AA42" s="1"/>
      <c r="AB42" s="72" t="s">
        <v>28</v>
      </c>
      <c r="AC42" s="73"/>
      <c r="AD42" s="26">
        <v>12</v>
      </c>
      <c r="CA42" s="19"/>
      <c r="CB42" s="20"/>
      <c r="CC42" s="20"/>
      <c r="CD42" s="21"/>
      <c r="CE42" s="11">
        <f t="shared" si="25"/>
        <v>0</v>
      </c>
    </row>
    <row r="43" spans="1:83" ht="15" thickBot="1" x14ac:dyDescent="0.35">
      <c r="A43" s="19"/>
      <c r="B43" s="20"/>
      <c r="C43" s="20"/>
      <c r="D43" s="21"/>
      <c r="E43" s="11">
        <f t="shared" si="20"/>
        <v>0</v>
      </c>
      <c r="H43" s="19"/>
      <c r="I43" s="20"/>
      <c r="J43" s="20"/>
      <c r="K43" s="21"/>
      <c r="L43" s="11">
        <f t="shared" si="21"/>
        <v>0</v>
      </c>
      <c r="N43" s="19"/>
      <c r="O43" s="20"/>
      <c r="P43" s="20"/>
      <c r="Q43" s="21"/>
      <c r="R43" s="11">
        <f t="shared" si="24"/>
        <v>0</v>
      </c>
      <c r="T43" s="19"/>
      <c r="U43" s="20"/>
      <c r="V43" s="20"/>
      <c r="W43" s="21"/>
      <c r="X43" s="11">
        <f t="shared" si="27"/>
        <v>0</v>
      </c>
      <c r="Z43" s="1"/>
      <c r="AA43" s="1"/>
      <c r="AB43" s="72" t="s">
        <v>29</v>
      </c>
      <c r="AC43" s="74"/>
      <c r="AD43" s="27">
        <f>AD41/AD42*100</f>
        <v>18.616173333333332</v>
      </c>
      <c r="CA43" s="19"/>
      <c r="CB43" s="20"/>
      <c r="CC43" s="20"/>
      <c r="CD43" s="21"/>
      <c r="CE43" s="11">
        <f t="shared" si="25"/>
        <v>0</v>
      </c>
    </row>
    <row r="44" spans="1:83" ht="15" thickBot="1" x14ac:dyDescent="0.35">
      <c r="A44" s="22"/>
      <c r="B44" s="23"/>
      <c r="C44" s="23"/>
      <c r="D44" s="24"/>
      <c r="E44" s="25"/>
      <c r="H44" s="22"/>
      <c r="I44" s="23"/>
      <c r="J44" s="23"/>
      <c r="K44" s="24"/>
      <c r="L44" s="25"/>
      <c r="N44" s="22"/>
      <c r="O44" s="23"/>
      <c r="P44" s="23"/>
      <c r="Q44" s="24"/>
      <c r="R44" s="25"/>
      <c r="T44" s="22"/>
      <c r="U44" s="23"/>
      <c r="V44" s="23"/>
      <c r="W44" s="24"/>
      <c r="X44" s="25"/>
      <c r="Z44" s="1"/>
      <c r="AA44" s="1"/>
      <c r="AB44" s="1"/>
      <c r="AC44" s="28" t="s">
        <v>30</v>
      </c>
      <c r="AD44" s="16">
        <f>100-AD43</f>
        <v>81.383826666666664</v>
      </c>
      <c r="CA44" s="22"/>
      <c r="CB44" s="23"/>
      <c r="CC44" s="23"/>
      <c r="CD44" s="24"/>
      <c r="CE44" s="25"/>
    </row>
    <row r="45" spans="1:83" ht="15" thickBot="1" x14ac:dyDescent="0.35">
      <c r="A45" s="1"/>
      <c r="B45" s="1"/>
      <c r="C45" s="72" t="s">
        <v>26</v>
      </c>
      <c r="D45" s="73"/>
      <c r="E45" s="26">
        <f>SUM(E29:E44)</f>
        <v>2.1604999999999999</v>
      </c>
      <c r="H45" s="1"/>
      <c r="I45" s="1"/>
      <c r="J45" s="72" t="s">
        <v>26</v>
      </c>
      <c r="K45" s="73"/>
      <c r="L45" s="26">
        <f>SUM(L29:L44)</f>
        <v>2.52</v>
      </c>
      <c r="N45" s="1"/>
      <c r="O45" s="1"/>
      <c r="P45" s="72" t="s">
        <v>26</v>
      </c>
      <c r="Q45" s="73"/>
      <c r="R45" s="26">
        <f>SUM(R30:R44)</f>
        <v>2.3190399999999998</v>
      </c>
      <c r="T45" s="1"/>
      <c r="U45" s="1"/>
      <c r="V45" s="72" t="s">
        <v>26</v>
      </c>
      <c r="W45" s="73"/>
      <c r="X45" s="26">
        <f>SUM(X29:X44)</f>
        <v>3.0259000000000005</v>
      </c>
      <c r="CA45" s="1"/>
      <c r="CB45" s="1"/>
      <c r="CC45" s="72" t="s">
        <v>26</v>
      </c>
      <c r="CD45" s="73"/>
      <c r="CE45" s="26">
        <f>SUM(CE29:CE44)</f>
        <v>1.1419999999999999</v>
      </c>
    </row>
    <row r="46" spans="1:83" ht="15" thickBot="1" x14ac:dyDescent="0.35">
      <c r="A46" s="1"/>
      <c r="B46" s="1"/>
      <c r="C46" s="72" t="s">
        <v>27</v>
      </c>
      <c r="D46" s="73"/>
      <c r="E46" s="26">
        <f>+E45*1.145</f>
        <v>2.4737724999999999</v>
      </c>
      <c r="H46" s="1"/>
      <c r="I46" s="1"/>
      <c r="J46" s="72" t="s">
        <v>27</v>
      </c>
      <c r="K46" s="73"/>
      <c r="L46" s="26">
        <f>+L45*1.145</f>
        <v>2.8854000000000002</v>
      </c>
      <c r="N46" s="1"/>
      <c r="O46" s="1"/>
      <c r="P46" s="72" t="s">
        <v>27</v>
      </c>
      <c r="Q46" s="73"/>
      <c r="R46" s="26">
        <f>+R45*1.145</f>
        <v>2.6553007999999996</v>
      </c>
      <c r="T46" s="1"/>
      <c r="U46" s="1"/>
      <c r="V46" s="72" t="s">
        <v>27</v>
      </c>
      <c r="W46" s="73"/>
      <c r="X46" s="26">
        <f>+X45*1.145</f>
        <v>3.4646555000000006</v>
      </c>
      <c r="CA46" s="1"/>
      <c r="CB46" s="1"/>
      <c r="CC46" s="72" t="s">
        <v>27</v>
      </c>
      <c r="CD46" s="73"/>
      <c r="CE46" s="26">
        <f>+CE45*1.145</f>
        <v>1.3075899999999998</v>
      </c>
    </row>
    <row r="47" spans="1:83" ht="15" thickBot="1" x14ac:dyDescent="0.35">
      <c r="A47" s="1"/>
      <c r="B47" s="1"/>
      <c r="C47" s="72" t="s">
        <v>28</v>
      </c>
      <c r="D47" s="73"/>
      <c r="E47" s="26">
        <v>9</v>
      </c>
      <c r="H47" s="1"/>
      <c r="I47" s="1"/>
      <c r="J47" s="72" t="s">
        <v>28</v>
      </c>
      <c r="K47" s="73"/>
      <c r="L47" s="26">
        <v>12</v>
      </c>
      <c r="N47" s="1"/>
      <c r="O47" s="1"/>
      <c r="P47" s="72" t="s">
        <v>28</v>
      </c>
      <c r="Q47" s="73"/>
      <c r="R47" s="26">
        <v>12</v>
      </c>
      <c r="T47" s="1"/>
      <c r="U47" s="1"/>
      <c r="V47" s="72" t="s">
        <v>28</v>
      </c>
      <c r="W47" s="73"/>
      <c r="X47" s="26">
        <v>15</v>
      </c>
      <c r="Z47" s="1"/>
      <c r="AA47" s="1"/>
      <c r="AB47" s="54"/>
      <c r="AC47" s="1"/>
      <c r="AD47" s="54"/>
      <c r="CA47" s="1"/>
      <c r="CB47" s="1"/>
      <c r="CC47" s="72" t="s">
        <v>28</v>
      </c>
      <c r="CD47" s="73"/>
      <c r="CE47" s="26">
        <v>5</v>
      </c>
    </row>
    <row r="48" spans="1:83" ht="15" thickBot="1" x14ac:dyDescent="0.35">
      <c r="A48" s="1"/>
      <c r="B48" s="1"/>
      <c r="C48" s="72" t="s">
        <v>29</v>
      </c>
      <c r="D48" s="74"/>
      <c r="E48" s="27">
        <f>E46/E47*100</f>
        <v>27.486361111111112</v>
      </c>
      <c r="H48" s="1"/>
      <c r="I48" s="1"/>
      <c r="J48" s="72" t="s">
        <v>29</v>
      </c>
      <c r="K48" s="74"/>
      <c r="L48" s="27">
        <f>L46/L47*100</f>
        <v>24.045000000000002</v>
      </c>
      <c r="N48" s="1"/>
      <c r="O48" s="1"/>
      <c r="P48" s="72" t="s">
        <v>29</v>
      </c>
      <c r="Q48" s="74"/>
      <c r="R48" s="27">
        <f>R46/R47*100</f>
        <v>22.127506666666662</v>
      </c>
      <c r="T48" s="1"/>
      <c r="U48" s="1"/>
      <c r="V48" s="72" t="s">
        <v>29</v>
      </c>
      <c r="W48" s="74"/>
      <c r="X48" s="27">
        <f>X46/X47*100</f>
        <v>23.097703333333335</v>
      </c>
      <c r="Z48" s="1"/>
      <c r="AA48" s="1"/>
      <c r="AB48" s="54"/>
      <c r="AC48" s="1"/>
      <c r="AD48" s="54"/>
      <c r="CA48" s="1"/>
      <c r="CB48" s="1"/>
      <c r="CC48" s="72" t="s">
        <v>29</v>
      </c>
      <c r="CD48" s="74"/>
      <c r="CE48" s="27">
        <f>CE46/CE47*100</f>
        <v>26.151799999999998</v>
      </c>
    </row>
    <row r="49" spans="1:83" x14ac:dyDescent="0.3">
      <c r="A49" s="1"/>
      <c r="B49" s="1"/>
      <c r="C49" s="1"/>
      <c r="D49" s="28" t="s">
        <v>30</v>
      </c>
      <c r="E49" s="16">
        <f>100-E48</f>
        <v>72.513638888888892</v>
      </c>
      <c r="H49" s="1"/>
      <c r="I49" s="1"/>
      <c r="J49" s="1"/>
      <c r="K49" s="28" t="s">
        <v>30</v>
      </c>
      <c r="L49" s="16">
        <f>100-L48</f>
        <v>75.954999999999998</v>
      </c>
      <c r="N49" s="1"/>
      <c r="O49" s="1"/>
      <c r="P49" s="1"/>
      <c r="Q49" s="28" t="s">
        <v>30</v>
      </c>
      <c r="R49" s="16">
        <f>100-R48</f>
        <v>77.872493333333338</v>
      </c>
      <c r="T49" s="1"/>
      <c r="U49" s="1"/>
      <c r="V49" s="1"/>
      <c r="W49" s="28" t="s">
        <v>30</v>
      </c>
      <c r="X49" s="16">
        <f>100-X48</f>
        <v>76.902296666666672</v>
      </c>
      <c r="Z49" s="1"/>
      <c r="AA49" s="1"/>
      <c r="AB49" s="54"/>
      <c r="AC49" s="1"/>
      <c r="AD49" s="54"/>
      <c r="CA49" s="1"/>
      <c r="CB49" s="1"/>
      <c r="CC49" s="1"/>
      <c r="CD49" s="28" t="s">
        <v>30</v>
      </c>
      <c r="CE49" s="16">
        <f>100-CE48</f>
        <v>73.848200000000006</v>
      </c>
    </row>
    <row r="50" spans="1:83" x14ac:dyDescent="0.3">
      <c r="Z50" s="1"/>
      <c r="AA50" s="1"/>
      <c r="AB50" s="54"/>
      <c r="AC50" s="1"/>
      <c r="AD50" s="54"/>
    </row>
    <row r="51" spans="1:83" ht="15" thickBot="1" x14ac:dyDescent="0.35">
      <c r="Z51" s="1"/>
      <c r="AA51" s="1"/>
      <c r="AB51" s="54"/>
      <c r="AC51" s="1"/>
      <c r="AD51" s="54"/>
    </row>
    <row r="52" spans="1:83" ht="15" thickBot="1" x14ac:dyDescent="0.35">
      <c r="A52" s="69" t="s">
        <v>423</v>
      </c>
      <c r="B52" s="70"/>
      <c r="C52" s="70"/>
      <c r="D52" s="70"/>
      <c r="E52" s="71"/>
      <c r="H52" s="69" t="s">
        <v>114</v>
      </c>
      <c r="I52" s="70"/>
      <c r="J52" s="70"/>
      <c r="K52" s="70"/>
      <c r="L52" s="71"/>
      <c r="N52" s="69" t="s">
        <v>397</v>
      </c>
      <c r="O52" s="70"/>
      <c r="P52" s="70"/>
      <c r="Q52" s="70"/>
      <c r="R52" s="71"/>
      <c r="T52" s="69" t="s">
        <v>399</v>
      </c>
      <c r="U52" s="70"/>
      <c r="V52" s="70"/>
      <c r="W52" s="70"/>
      <c r="X52" s="71"/>
      <c r="Z52" s="69" t="s">
        <v>411</v>
      </c>
      <c r="AA52" s="70"/>
      <c r="AB52" s="70"/>
      <c r="AC52" s="70"/>
      <c r="AD52" s="71"/>
    </row>
    <row r="53" spans="1:83" ht="15" thickBot="1" x14ac:dyDescent="0.35">
      <c r="A53" s="2" t="s">
        <v>3</v>
      </c>
      <c r="B53" s="3" t="s">
        <v>4</v>
      </c>
      <c r="C53" s="3" t="s">
        <v>5</v>
      </c>
      <c r="D53" s="4" t="s">
        <v>6</v>
      </c>
      <c r="E53" s="5" t="s">
        <v>7</v>
      </c>
      <c r="H53" s="2" t="s">
        <v>3</v>
      </c>
      <c r="I53" s="3" t="s">
        <v>4</v>
      </c>
      <c r="J53" s="3" t="s">
        <v>5</v>
      </c>
      <c r="K53" s="4" t="s">
        <v>6</v>
      </c>
      <c r="L53" s="5" t="s">
        <v>7</v>
      </c>
      <c r="N53" s="2" t="s">
        <v>3</v>
      </c>
      <c r="O53" s="3" t="s">
        <v>4</v>
      </c>
      <c r="P53" s="3" t="s">
        <v>5</v>
      </c>
      <c r="Q53" s="4" t="s">
        <v>6</v>
      </c>
      <c r="R53" s="5" t="s">
        <v>7</v>
      </c>
      <c r="T53" s="2" t="s">
        <v>3</v>
      </c>
      <c r="U53" s="3" t="s">
        <v>4</v>
      </c>
      <c r="V53" s="3" t="s">
        <v>5</v>
      </c>
      <c r="W53" s="4" t="s">
        <v>6</v>
      </c>
      <c r="X53" s="5" t="s">
        <v>7</v>
      </c>
      <c r="Z53" s="2" t="s">
        <v>3</v>
      </c>
      <c r="AA53" s="3" t="s">
        <v>4</v>
      </c>
      <c r="AB53" s="3" t="s">
        <v>5</v>
      </c>
      <c r="AC53" s="4" t="s">
        <v>6</v>
      </c>
      <c r="AD53" s="5" t="s">
        <v>7</v>
      </c>
    </row>
    <row r="54" spans="1:83" x14ac:dyDescent="0.3">
      <c r="A54" s="7" t="s">
        <v>421</v>
      </c>
      <c r="B54" s="8" t="s">
        <v>34</v>
      </c>
      <c r="C54" s="9">
        <v>7.2</v>
      </c>
      <c r="D54" s="10">
        <v>0.6</v>
      </c>
      <c r="E54" s="11">
        <f t="shared" ref="E54:E68" si="28">+D54*C54</f>
        <v>4.32</v>
      </c>
      <c r="H54" s="7" t="s">
        <v>123</v>
      </c>
      <c r="I54" s="8" t="s">
        <v>34</v>
      </c>
      <c r="J54" s="9">
        <v>5.34</v>
      </c>
      <c r="K54" s="10">
        <v>0.2</v>
      </c>
      <c r="L54" s="11">
        <f t="shared" ref="L54:L62" si="29">+K54*J54</f>
        <v>1.0680000000000001</v>
      </c>
      <c r="N54" s="33"/>
      <c r="O54" s="34"/>
      <c r="P54" s="35"/>
      <c r="Q54" s="34"/>
      <c r="R54" s="36"/>
      <c r="T54" s="7" t="s">
        <v>123</v>
      </c>
      <c r="U54" s="8" t="s">
        <v>34</v>
      </c>
      <c r="V54" s="9">
        <v>5.34</v>
      </c>
      <c r="W54" s="10">
        <v>0.15</v>
      </c>
      <c r="X54" s="11">
        <f t="shared" ref="X54:X57" si="30">+W54*V54</f>
        <v>0.80099999999999993</v>
      </c>
      <c r="Z54" s="7" t="s">
        <v>91</v>
      </c>
      <c r="AA54" s="8" t="s">
        <v>34</v>
      </c>
      <c r="AB54" s="9">
        <v>0.15</v>
      </c>
      <c r="AC54" s="10">
        <v>3</v>
      </c>
      <c r="AD54" s="11">
        <f t="shared" ref="AD54:AD66" si="31">+AC54*AB54</f>
        <v>0.44999999999999996</v>
      </c>
    </row>
    <row r="55" spans="1:83" x14ac:dyDescent="0.3">
      <c r="A55" s="15" t="s">
        <v>24</v>
      </c>
      <c r="B55" s="16"/>
      <c r="C55" s="17">
        <v>0.02</v>
      </c>
      <c r="D55" s="18">
        <v>1.4999999999999999E-2</v>
      </c>
      <c r="E55" s="11">
        <f t="shared" si="28"/>
        <v>2.9999999999999997E-4</v>
      </c>
      <c r="H55" s="15" t="s">
        <v>132</v>
      </c>
      <c r="I55" s="16" t="s">
        <v>34</v>
      </c>
      <c r="J55" s="17">
        <v>0.15</v>
      </c>
      <c r="K55" s="18">
        <v>0.05</v>
      </c>
      <c r="L55" s="11">
        <f t="shared" si="29"/>
        <v>7.4999999999999997E-3</v>
      </c>
      <c r="N55" s="37"/>
      <c r="O55" s="18"/>
      <c r="P55" s="32"/>
      <c r="Q55" s="18"/>
      <c r="R55" s="38"/>
      <c r="T55" s="15" t="s">
        <v>132</v>
      </c>
      <c r="U55" s="16" t="s">
        <v>34</v>
      </c>
      <c r="V55" s="17">
        <v>0.15</v>
      </c>
      <c r="W55" s="18">
        <v>0.05</v>
      </c>
      <c r="X55" s="11">
        <f t="shared" si="30"/>
        <v>7.4999999999999997E-3</v>
      </c>
      <c r="Z55" s="15" t="s">
        <v>127</v>
      </c>
      <c r="AA55" s="16" t="s">
        <v>128</v>
      </c>
      <c r="AB55" s="17">
        <v>0</v>
      </c>
      <c r="AC55" s="18">
        <v>1</v>
      </c>
      <c r="AD55" s="11">
        <f t="shared" si="31"/>
        <v>0</v>
      </c>
    </row>
    <row r="56" spans="1:83" x14ac:dyDescent="0.3">
      <c r="A56" s="15" t="s">
        <v>91</v>
      </c>
      <c r="B56" s="16"/>
      <c r="C56" s="17">
        <v>0.05</v>
      </c>
      <c r="D56" s="18">
        <v>6</v>
      </c>
      <c r="E56" s="11">
        <f t="shared" si="28"/>
        <v>0.30000000000000004</v>
      </c>
      <c r="H56" s="15" t="s">
        <v>45</v>
      </c>
      <c r="I56" s="16" t="s">
        <v>9</v>
      </c>
      <c r="J56" s="17">
        <v>0.15</v>
      </c>
      <c r="K56" s="18">
        <v>2</v>
      </c>
      <c r="L56" s="11">
        <f t="shared" si="29"/>
        <v>0.3</v>
      </c>
      <c r="N56" s="37"/>
      <c r="O56" s="18"/>
      <c r="P56" s="32"/>
      <c r="Q56" s="18"/>
      <c r="R56" s="38"/>
      <c r="T56" s="15" t="s">
        <v>45</v>
      </c>
      <c r="U56" s="16" t="s">
        <v>9</v>
      </c>
      <c r="V56" s="17">
        <v>0.15</v>
      </c>
      <c r="W56" s="18">
        <v>0.02</v>
      </c>
      <c r="X56" s="11">
        <f t="shared" si="30"/>
        <v>3.0000000000000001E-3</v>
      </c>
      <c r="Z56" s="15" t="s">
        <v>410</v>
      </c>
      <c r="AA56" s="16" t="s">
        <v>11</v>
      </c>
      <c r="AB56" s="17">
        <v>40</v>
      </c>
      <c r="AC56" s="18">
        <v>7.0000000000000007E-2</v>
      </c>
      <c r="AD56" s="11">
        <f t="shared" si="31"/>
        <v>2.8000000000000003</v>
      </c>
    </row>
    <row r="57" spans="1:83" x14ac:dyDescent="0.3">
      <c r="A57" s="15"/>
      <c r="B57" s="16"/>
      <c r="C57" s="17"/>
      <c r="D57" s="18"/>
      <c r="E57" s="11"/>
      <c r="H57" s="15" t="s">
        <v>147</v>
      </c>
      <c r="I57" s="16" t="s">
        <v>9</v>
      </c>
      <c r="J57" s="17">
        <v>9</v>
      </c>
      <c r="K57" s="18">
        <v>0.02</v>
      </c>
      <c r="L57" s="11">
        <f t="shared" si="29"/>
        <v>0.18</v>
      </c>
      <c r="N57" s="37" t="s">
        <v>301</v>
      </c>
      <c r="O57" s="18"/>
      <c r="P57" s="32">
        <v>0.6</v>
      </c>
      <c r="Q57" s="18">
        <v>5.0000000000000001E-3</v>
      </c>
      <c r="R57" s="38">
        <f t="shared" ref="R57:R68" si="32">+Q57*P57</f>
        <v>3.0000000000000001E-3</v>
      </c>
      <c r="T57" s="15" t="s">
        <v>147</v>
      </c>
      <c r="U57" s="16" t="s">
        <v>9</v>
      </c>
      <c r="V57" s="17">
        <v>9</v>
      </c>
      <c r="W57" s="18">
        <v>0.02</v>
      </c>
      <c r="X57" s="11">
        <f t="shared" si="30"/>
        <v>0.18</v>
      </c>
      <c r="Z57" s="15"/>
      <c r="AA57" s="16"/>
      <c r="AB57" s="17"/>
      <c r="AC57" s="18"/>
      <c r="AD57" s="11"/>
    </row>
    <row r="58" spans="1:83" x14ac:dyDescent="0.3">
      <c r="A58" s="15"/>
      <c r="B58" s="16"/>
      <c r="C58" s="17"/>
      <c r="D58" s="18"/>
      <c r="E58" s="11">
        <f t="shared" si="28"/>
        <v>0</v>
      </c>
      <c r="H58" s="19" t="s">
        <v>179</v>
      </c>
      <c r="I58" s="20" t="s">
        <v>9</v>
      </c>
      <c r="J58" s="20">
        <v>2.1</v>
      </c>
      <c r="K58" s="21">
        <v>3.0000000000000001E-3</v>
      </c>
      <c r="L58" s="11">
        <f t="shared" si="29"/>
        <v>6.3E-3</v>
      </c>
      <c r="N58" s="37" t="s">
        <v>302</v>
      </c>
      <c r="O58" s="18"/>
      <c r="P58" s="32">
        <v>40</v>
      </c>
      <c r="Q58" s="18">
        <v>0.03</v>
      </c>
      <c r="R58" s="38">
        <f t="shared" si="32"/>
        <v>1.2</v>
      </c>
      <c r="T58" s="19" t="s">
        <v>154</v>
      </c>
      <c r="U58" s="20" t="s">
        <v>38</v>
      </c>
      <c r="V58" s="20">
        <v>1.5</v>
      </c>
      <c r="W58" s="21">
        <v>0.01</v>
      </c>
      <c r="X58" s="11">
        <f>+W58*V58</f>
        <v>1.4999999999999999E-2</v>
      </c>
      <c r="Z58" s="15"/>
      <c r="AA58" s="16"/>
      <c r="AB58" s="17"/>
      <c r="AC58" s="18"/>
      <c r="AD58" s="11"/>
    </row>
    <row r="59" spans="1:83" x14ac:dyDescent="0.3">
      <c r="A59" s="15"/>
      <c r="B59" s="16"/>
      <c r="C59" s="17"/>
      <c r="D59" s="18"/>
      <c r="E59" s="11">
        <f t="shared" si="28"/>
        <v>0</v>
      </c>
      <c r="H59" s="19" t="s">
        <v>154</v>
      </c>
      <c r="I59" s="20" t="s">
        <v>38</v>
      </c>
      <c r="J59" s="20">
        <v>1.5</v>
      </c>
      <c r="K59" s="21">
        <v>0.01</v>
      </c>
      <c r="L59" s="11">
        <f t="shared" si="29"/>
        <v>1.4999999999999999E-2</v>
      </c>
      <c r="N59" s="37" t="s">
        <v>354</v>
      </c>
      <c r="O59" s="18"/>
      <c r="P59" s="32" t="s">
        <v>128</v>
      </c>
      <c r="Q59" s="18"/>
      <c r="R59" s="38">
        <v>0.2</v>
      </c>
      <c r="T59" s="19" t="s">
        <v>183</v>
      </c>
      <c r="U59" s="20" t="s">
        <v>9</v>
      </c>
      <c r="V59" s="20">
        <v>6</v>
      </c>
      <c r="W59" s="21">
        <v>2E-3</v>
      </c>
      <c r="X59" s="11">
        <f>+W59*V59</f>
        <v>1.2E-2</v>
      </c>
      <c r="Z59" s="15"/>
      <c r="AA59" s="16"/>
      <c r="AB59" s="17"/>
      <c r="AC59" s="18"/>
      <c r="AD59" s="11"/>
    </row>
    <row r="60" spans="1:83" x14ac:dyDescent="0.3">
      <c r="A60" s="15"/>
      <c r="B60" s="16"/>
      <c r="C60" s="17"/>
      <c r="D60" s="18"/>
      <c r="E60" s="11">
        <f t="shared" si="28"/>
        <v>0</v>
      </c>
      <c r="H60" s="19" t="s">
        <v>183</v>
      </c>
      <c r="I60" s="20" t="s">
        <v>9</v>
      </c>
      <c r="J60" s="20">
        <v>6</v>
      </c>
      <c r="K60" s="21">
        <v>2E-3</v>
      </c>
      <c r="L60" s="11">
        <f t="shared" si="29"/>
        <v>1.2E-2</v>
      </c>
      <c r="N60" s="37" t="s">
        <v>10</v>
      </c>
      <c r="O60" s="18"/>
      <c r="P60" s="32">
        <v>8.6999999999999993</v>
      </c>
      <c r="Q60" s="18">
        <v>5.0000000000000001E-3</v>
      </c>
      <c r="R60" s="38">
        <f t="shared" si="32"/>
        <v>4.3499999999999997E-2</v>
      </c>
      <c r="T60" s="19" t="s">
        <v>167</v>
      </c>
      <c r="U60" s="20" t="s">
        <v>9</v>
      </c>
      <c r="V60" s="20">
        <v>11</v>
      </c>
      <c r="W60" s="21">
        <v>2E-3</v>
      </c>
      <c r="X60" s="11">
        <f>+W60*V60</f>
        <v>2.1999999999999999E-2</v>
      </c>
      <c r="Z60" s="15"/>
      <c r="AA60" s="16"/>
      <c r="AB60" s="17"/>
      <c r="AC60" s="18"/>
      <c r="AD60" s="11"/>
    </row>
    <row r="61" spans="1:83" x14ac:dyDescent="0.3">
      <c r="A61" s="15"/>
      <c r="B61" s="16"/>
      <c r="C61" s="17"/>
      <c r="D61" s="18"/>
      <c r="E61" s="11">
        <f t="shared" si="28"/>
        <v>0</v>
      </c>
      <c r="H61" s="19" t="s">
        <v>167</v>
      </c>
      <c r="I61" s="20" t="s">
        <v>9</v>
      </c>
      <c r="J61" s="20">
        <v>11</v>
      </c>
      <c r="K61" s="21">
        <v>2E-3</v>
      </c>
      <c r="L61" s="11">
        <f t="shared" si="29"/>
        <v>2.1999999999999999E-2</v>
      </c>
      <c r="N61" s="37" t="s">
        <v>137</v>
      </c>
      <c r="O61" s="18"/>
      <c r="P61" s="32">
        <v>1</v>
      </c>
      <c r="Q61" s="18">
        <v>0.8</v>
      </c>
      <c r="R61" s="38">
        <f t="shared" si="32"/>
        <v>0.8</v>
      </c>
      <c r="T61" s="19" t="s">
        <v>184</v>
      </c>
      <c r="U61" s="20" t="s">
        <v>9</v>
      </c>
      <c r="V61" s="20">
        <v>1.8</v>
      </c>
      <c r="W61" s="21">
        <v>0.25</v>
      </c>
      <c r="X61" s="11">
        <f>+W61*V61</f>
        <v>0.45</v>
      </c>
      <c r="Z61" s="15"/>
      <c r="AA61" s="16"/>
      <c r="AB61" s="17"/>
      <c r="AC61" s="18"/>
      <c r="AD61" s="11"/>
    </row>
    <row r="62" spans="1:83" x14ac:dyDescent="0.3">
      <c r="A62" s="19"/>
      <c r="B62" s="20"/>
      <c r="C62" s="20"/>
      <c r="D62" s="21"/>
      <c r="E62" s="11">
        <f t="shared" si="28"/>
        <v>0</v>
      </c>
      <c r="H62" s="19" t="s">
        <v>184</v>
      </c>
      <c r="I62" s="20" t="s">
        <v>9</v>
      </c>
      <c r="J62" s="20">
        <v>1.8</v>
      </c>
      <c r="K62" s="21">
        <v>0.25</v>
      </c>
      <c r="L62" s="11">
        <f t="shared" si="29"/>
        <v>0.45</v>
      </c>
      <c r="N62" s="37" t="s">
        <v>398</v>
      </c>
      <c r="O62" s="18"/>
      <c r="P62" s="18">
        <v>1</v>
      </c>
      <c r="Q62" s="18">
        <v>5.0000000000000001E-3</v>
      </c>
      <c r="R62" s="38">
        <f t="shared" si="32"/>
        <v>5.0000000000000001E-3</v>
      </c>
      <c r="T62" s="18" t="s">
        <v>400</v>
      </c>
      <c r="U62" s="18" t="s">
        <v>44</v>
      </c>
      <c r="V62" s="18">
        <v>3.44</v>
      </c>
      <c r="W62" s="18">
        <v>0.05</v>
      </c>
      <c r="X62" s="32">
        <f>+W62*V62</f>
        <v>0.17200000000000001</v>
      </c>
      <c r="Z62" s="19"/>
      <c r="AA62" s="20"/>
      <c r="AB62" s="20"/>
      <c r="AC62" s="21"/>
      <c r="AD62" s="11"/>
    </row>
    <row r="63" spans="1:83" ht="15" thickBot="1" x14ac:dyDescent="0.35">
      <c r="A63" s="19"/>
      <c r="B63" s="20"/>
      <c r="C63" s="20"/>
      <c r="D63" s="21"/>
      <c r="E63" s="11">
        <f t="shared" si="28"/>
        <v>0</v>
      </c>
      <c r="H63" s="22"/>
      <c r="I63" s="23"/>
      <c r="J63" s="23"/>
      <c r="K63" s="24"/>
      <c r="L63" s="25"/>
      <c r="N63" s="37"/>
      <c r="O63" s="18"/>
      <c r="P63" s="18"/>
      <c r="Q63" s="18"/>
      <c r="R63" s="38"/>
      <c r="T63" s="18"/>
      <c r="U63" s="18"/>
      <c r="V63" s="18"/>
      <c r="W63" s="18"/>
      <c r="X63" s="32"/>
      <c r="Z63" s="19"/>
      <c r="AA63" s="20"/>
      <c r="AB63" s="20"/>
      <c r="AC63" s="21"/>
      <c r="AD63" s="11"/>
    </row>
    <row r="64" spans="1:83" ht="15" thickBot="1" x14ac:dyDescent="0.35">
      <c r="A64" s="19"/>
      <c r="B64" s="20"/>
      <c r="C64" s="20"/>
      <c r="D64" s="21"/>
      <c r="E64" s="11">
        <f t="shared" si="28"/>
        <v>0</v>
      </c>
      <c r="H64" s="1"/>
      <c r="I64" s="1"/>
      <c r="J64" s="72" t="s">
        <v>26</v>
      </c>
      <c r="K64" s="73"/>
      <c r="L64" s="26">
        <f>SUM(L54:L63)</f>
        <v>2.0608</v>
      </c>
      <c r="N64" s="19"/>
      <c r="O64" s="20"/>
      <c r="P64" s="20"/>
      <c r="Q64" s="21"/>
      <c r="R64" s="11"/>
      <c r="T64" s="18"/>
      <c r="U64" s="18"/>
      <c r="V64" s="18"/>
      <c r="W64" s="18"/>
      <c r="X64" s="32"/>
      <c r="Z64" s="19"/>
      <c r="AA64" s="20"/>
      <c r="AB64" s="20"/>
      <c r="AC64" s="21"/>
      <c r="AD64" s="11"/>
    </row>
    <row r="65" spans="1:30" ht="15" thickBot="1" x14ac:dyDescent="0.35">
      <c r="A65" s="19"/>
      <c r="B65" s="20"/>
      <c r="C65" s="20"/>
      <c r="D65" s="21"/>
      <c r="E65" s="11">
        <f t="shared" si="28"/>
        <v>0</v>
      </c>
      <c r="H65" s="1"/>
      <c r="I65" s="1"/>
      <c r="J65" s="72" t="s">
        <v>27</v>
      </c>
      <c r="K65" s="73"/>
      <c r="L65" s="26">
        <f>+L64*1.145</f>
        <v>2.3596159999999999</v>
      </c>
      <c r="N65" s="19"/>
      <c r="O65" s="20"/>
      <c r="P65" s="20"/>
      <c r="Q65" s="21"/>
      <c r="R65" s="11">
        <f t="shared" si="32"/>
        <v>0</v>
      </c>
      <c r="T65" s="14"/>
      <c r="U65" s="14"/>
      <c r="V65" s="14"/>
      <c r="W65" s="14"/>
      <c r="X65" s="14"/>
      <c r="Z65" s="19"/>
      <c r="AA65" s="20"/>
      <c r="AB65" s="20"/>
      <c r="AC65" s="21"/>
      <c r="AD65" s="11"/>
    </row>
    <row r="66" spans="1:30" ht="15" thickBot="1" x14ac:dyDescent="0.35">
      <c r="A66" s="19"/>
      <c r="B66" s="20"/>
      <c r="C66" s="20"/>
      <c r="D66" s="21"/>
      <c r="E66" s="11">
        <f t="shared" si="28"/>
        <v>0</v>
      </c>
      <c r="H66" s="1"/>
      <c r="I66" s="1"/>
      <c r="J66" s="72" t="s">
        <v>28</v>
      </c>
      <c r="K66" s="73"/>
      <c r="L66" s="26">
        <v>12</v>
      </c>
      <c r="N66" s="19"/>
      <c r="O66" s="20"/>
      <c r="P66" s="20"/>
      <c r="Q66" s="21"/>
      <c r="R66" s="11">
        <f t="shared" si="32"/>
        <v>0</v>
      </c>
      <c r="T66" s="14"/>
      <c r="U66" s="14"/>
      <c r="V66" s="14"/>
      <c r="W66" s="14"/>
      <c r="X66" s="14"/>
      <c r="Z66" s="19" t="s">
        <v>10</v>
      </c>
      <c r="AA66" s="20" t="s">
        <v>11</v>
      </c>
      <c r="AB66" s="20">
        <v>8.6999999999999993</v>
      </c>
      <c r="AC66" s="21">
        <v>0.01</v>
      </c>
      <c r="AD66" s="11">
        <f t="shared" si="31"/>
        <v>8.6999999999999994E-2</v>
      </c>
    </row>
    <row r="67" spans="1:30" ht="15" thickBot="1" x14ac:dyDescent="0.35">
      <c r="A67" s="19"/>
      <c r="B67" s="20"/>
      <c r="C67" s="20"/>
      <c r="D67" s="21"/>
      <c r="E67" s="11">
        <f t="shared" si="28"/>
        <v>0</v>
      </c>
      <c r="H67" s="1"/>
      <c r="I67" s="1"/>
      <c r="J67" s="72" t="s">
        <v>29</v>
      </c>
      <c r="K67" s="74"/>
      <c r="L67" s="27">
        <f>L65/L66*100</f>
        <v>19.663466666666665</v>
      </c>
      <c r="N67" s="19"/>
      <c r="O67" s="20"/>
      <c r="P67" s="20"/>
      <c r="Q67" s="21"/>
      <c r="R67" s="11">
        <f t="shared" si="32"/>
        <v>0</v>
      </c>
      <c r="T67" s="14"/>
      <c r="U67" s="14"/>
      <c r="V67" s="14"/>
      <c r="W67" s="14"/>
      <c r="X67" s="14"/>
      <c r="Z67" s="19"/>
      <c r="AA67" s="20"/>
      <c r="AB67" s="20"/>
      <c r="AC67" s="21"/>
      <c r="AD67" s="11"/>
    </row>
    <row r="68" spans="1:30" x14ac:dyDescent="0.3">
      <c r="A68" s="19"/>
      <c r="B68" s="20"/>
      <c r="C68" s="20"/>
      <c r="D68" s="21"/>
      <c r="E68" s="11">
        <f t="shared" si="28"/>
        <v>0</v>
      </c>
      <c r="H68" s="1"/>
      <c r="I68" s="1"/>
      <c r="J68" s="1"/>
      <c r="K68" s="28" t="s">
        <v>30</v>
      </c>
      <c r="L68" s="16">
        <f>100-L67</f>
        <v>80.336533333333335</v>
      </c>
      <c r="N68" s="19"/>
      <c r="O68" s="20"/>
      <c r="P68" s="20"/>
      <c r="Q68" s="21"/>
      <c r="R68" s="11">
        <f t="shared" si="32"/>
        <v>0</v>
      </c>
      <c r="T68" s="14"/>
      <c r="U68" s="14"/>
      <c r="V68" s="14"/>
      <c r="W68" s="14"/>
      <c r="X68" s="14"/>
      <c r="Z68" s="19"/>
      <c r="AA68" s="20"/>
      <c r="AB68" s="20"/>
      <c r="AC68" s="21"/>
      <c r="AD68" s="11"/>
    </row>
    <row r="69" spans="1:30" ht="15" thickBot="1" x14ac:dyDescent="0.35">
      <c r="A69" s="22"/>
      <c r="B69" s="23"/>
      <c r="C69" s="23"/>
      <c r="D69" s="24"/>
      <c r="E69" s="25"/>
      <c r="N69" s="22"/>
      <c r="O69" s="23"/>
      <c r="P69" s="23"/>
      <c r="Q69" s="24"/>
      <c r="R69" s="25"/>
      <c r="T69" s="22"/>
      <c r="U69" s="23"/>
      <c r="V69" s="23"/>
      <c r="W69" s="24"/>
      <c r="X69" s="25"/>
      <c r="Z69" s="22"/>
      <c r="AA69" s="23"/>
      <c r="AB69" s="23"/>
      <c r="AC69" s="24"/>
      <c r="AD69" s="25"/>
    </row>
    <row r="70" spans="1:30" ht="15" thickBot="1" x14ac:dyDescent="0.35">
      <c r="A70" s="1"/>
      <c r="B70" s="1"/>
      <c r="C70" s="72" t="s">
        <v>26</v>
      </c>
      <c r="D70" s="73"/>
      <c r="E70" s="26">
        <f>SUM(E54:E69)</f>
        <v>4.6203000000000003</v>
      </c>
      <c r="N70" s="1"/>
      <c r="O70" s="1"/>
      <c r="P70" s="72" t="s">
        <v>26</v>
      </c>
      <c r="Q70" s="73"/>
      <c r="R70" s="26">
        <f>SUM(R54:R69)</f>
        <v>2.2515000000000001</v>
      </c>
      <c r="T70" s="1"/>
      <c r="U70" s="1"/>
      <c r="V70" s="72" t="s">
        <v>26</v>
      </c>
      <c r="W70" s="73"/>
      <c r="X70" s="26">
        <f>SUM(X54:X69)</f>
        <v>1.6624999999999996</v>
      </c>
      <c r="Z70" s="1"/>
      <c r="AA70" s="1"/>
      <c r="AB70" s="72" t="s">
        <v>26</v>
      </c>
      <c r="AC70" s="73"/>
      <c r="AD70" s="26">
        <f>SUM(AD54:AD69)</f>
        <v>3.3370000000000002</v>
      </c>
    </row>
    <row r="71" spans="1:30" ht="15" thickBot="1" x14ac:dyDescent="0.35">
      <c r="A71" s="1"/>
      <c r="B71" s="1"/>
      <c r="C71" s="72" t="s">
        <v>27</v>
      </c>
      <c r="D71" s="73"/>
      <c r="E71" s="26">
        <f>+E70*1.145</f>
        <v>5.2902435000000008</v>
      </c>
      <c r="F71">
        <f>E71/22</f>
        <v>0.24046561363636368</v>
      </c>
      <c r="N71" s="1"/>
      <c r="O71" s="1"/>
      <c r="P71" s="72" t="s">
        <v>27</v>
      </c>
      <c r="Q71" s="73"/>
      <c r="R71" s="26">
        <f>+R70*1.145</f>
        <v>2.5779675000000002</v>
      </c>
      <c r="T71" s="1"/>
      <c r="U71" s="1"/>
      <c r="V71" s="72" t="s">
        <v>27</v>
      </c>
      <c r="W71" s="73"/>
      <c r="X71" s="26">
        <f>+X70*1.145</f>
        <v>1.9035624999999996</v>
      </c>
      <c r="Z71" s="1"/>
      <c r="AA71" s="1"/>
      <c r="AB71" s="72" t="s">
        <v>27</v>
      </c>
      <c r="AC71" s="73"/>
      <c r="AD71" s="26">
        <f>+AD70*1.145</f>
        <v>3.8208650000000004</v>
      </c>
    </row>
    <row r="72" spans="1:30" ht="15" thickBot="1" x14ac:dyDescent="0.35">
      <c r="A72" s="1"/>
      <c r="B72" s="1"/>
      <c r="C72" s="72" t="s">
        <v>28</v>
      </c>
      <c r="D72" s="73"/>
      <c r="E72" s="26">
        <v>12</v>
      </c>
      <c r="N72" s="1"/>
      <c r="O72" s="1"/>
      <c r="P72" s="72" t="s">
        <v>28</v>
      </c>
      <c r="Q72" s="73"/>
      <c r="R72" s="26">
        <v>9</v>
      </c>
      <c r="T72" s="1"/>
      <c r="U72" s="1"/>
      <c r="V72" s="72" t="s">
        <v>28</v>
      </c>
      <c r="W72" s="73"/>
      <c r="X72" s="26">
        <v>9</v>
      </c>
      <c r="Z72" s="1"/>
      <c r="AA72" s="1"/>
      <c r="AB72" s="72" t="s">
        <v>28</v>
      </c>
      <c r="AC72" s="73"/>
      <c r="AD72" s="26">
        <v>12</v>
      </c>
    </row>
    <row r="73" spans="1:30" ht="15" thickBot="1" x14ac:dyDescent="0.35">
      <c r="A73" s="1"/>
      <c r="B73" s="1"/>
      <c r="C73" s="72" t="s">
        <v>29</v>
      </c>
      <c r="D73" s="74"/>
      <c r="E73" s="27">
        <f>E71/E72*100</f>
        <v>44.085362500000009</v>
      </c>
      <c r="N73" s="1"/>
      <c r="O73" s="1"/>
      <c r="P73" s="72" t="s">
        <v>29</v>
      </c>
      <c r="Q73" s="74"/>
      <c r="R73" s="27">
        <f>R71/R72*100</f>
        <v>28.644083333333338</v>
      </c>
      <c r="T73" s="1"/>
      <c r="U73" s="1"/>
      <c r="V73" s="72" t="s">
        <v>29</v>
      </c>
      <c r="W73" s="74"/>
      <c r="X73" s="27">
        <f>X71/X72*100</f>
        <v>21.15069444444444</v>
      </c>
      <c r="Z73" s="1"/>
      <c r="AA73" s="1"/>
      <c r="AB73" s="72" t="s">
        <v>29</v>
      </c>
      <c r="AC73" s="74"/>
      <c r="AD73" s="27">
        <f>AD71/AD72*100</f>
        <v>31.84054166666667</v>
      </c>
    </row>
    <row r="74" spans="1:30" x14ac:dyDescent="0.3">
      <c r="A74" s="1"/>
      <c r="B74" s="1"/>
      <c r="C74" s="1"/>
      <c r="D74" s="28" t="s">
        <v>30</v>
      </c>
      <c r="E74" s="16">
        <f>100-E73</f>
        <v>55.914637499999991</v>
      </c>
      <c r="N74" s="1"/>
      <c r="O74" s="1"/>
      <c r="P74" s="1"/>
      <c r="Q74" s="28" t="s">
        <v>30</v>
      </c>
      <c r="R74" s="16">
        <f>100-R73</f>
        <v>71.355916666666658</v>
      </c>
      <c r="T74" s="1"/>
      <c r="U74" s="1"/>
      <c r="V74" s="1"/>
      <c r="W74" s="28" t="s">
        <v>30</v>
      </c>
      <c r="X74" s="16">
        <f>100-X73</f>
        <v>78.84930555555556</v>
      </c>
      <c r="Z74" s="1"/>
      <c r="AA74" s="1"/>
      <c r="AB74" s="1"/>
      <c r="AC74" s="28" t="s">
        <v>30</v>
      </c>
      <c r="AD74" s="16">
        <f>100-AD73</f>
        <v>68.159458333333333</v>
      </c>
    </row>
    <row r="75" spans="1:30" ht="15" thickBot="1" x14ac:dyDescent="0.35"/>
    <row r="76" spans="1:30" ht="15" thickBot="1" x14ac:dyDescent="0.35">
      <c r="A76" s="69" t="s">
        <v>422</v>
      </c>
      <c r="B76" s="70"/>
      <c r="C76" s="70"/>
      <c r="D76" s="70"/>
      <c r="E76" s="71"/>
      <c r="G76" s="69" t="s">
        <v>426</v>
      </c>
      <c r="H76" s="70"/>
      <c r="I76" s="70"/>
      <c r="J76" s="70"/>
      <c r="K76" s="71"/>
      <c r="M76" s="69" t="s">
        <v>426</v>
      </c>
      <c r="N76" s="70"/>
      <c r="O76" s="70"/>
      <c r="P76" s="70"/>
      <c r="Q76" s="71"/>
      <c r="S76" s="69" t="s">
        <v>426</v>
      </c>
      <c r="T76" s="70"/>
      <c r="U76" s="70"/>
      <c r="V76" s="70"/>
      <c r="W76" s="71"/>
      <c r="Y76" s="69" t="s">
        <v>426</v>
      </c>
      <c r="Z76" s="70"/>
      <c r="AA76" s="70"/>
      <c r="AB76" s="70"/>
      <c r="AC76" s="71"/>
    </row>
    <row r="77" spans="1:30" ht="15" thickBot="1" x14ac:dyDescent="0.35">
      <c r="A77" s="2" t="s">
        <v>3</v>
      </c>
      <c r="B77" s="3" t="s">
        <v>4</v>
      </c>
      <c r="C77" s="3" t="s">
        <v>5</v>
      </c>
      <c r="D77" s="4" t="s">
        <v>6</v>
      </c>
      <c r="E77" s="5" t="s">
        <v>7</v>
      </c>
      <c r="G77" s="2" t="s">
        <v>3</v>
      </c>
      <c r="H77" s="3" t="s">
        <v>4</v>
      </c>
      <c r="I77" s="3" t="s">
        <v>5</v>
      </c>
      <c r="J77" s="4" t="s">
        <v>6</v>
      </c>
      <c r="K77" s="5" t="s">
        <v>7</v>
      </c>
      <c r="M77" s="2" t="s">
        <v>3</v>
      </c>
      <c r="N77" s="3" t="s">
        <v>4</v>
      </c>
      <c r="O77" s="3" t="s">
        <v>5</v>
      </c>
      <c r="P77" s="4" t="s">
        <v>6</v>
      </c>
      <c r="Q77" s="5" t="s">
        <v>7</v>
      </c>
      <c r="S77" s="2" t="s">
        <v>3</v>
      </c>
      <c r="T77" s="3" t="s">
        <v>4</v>
      </c>
      <c r="U77" s="3" t="s">
        <v>5</v>
      </c>
      <c r="V77" s="4" t="s">
        <v>6</v>
      </c>
      <c r="W77" s="5" t="s">
        <v>7</v>
      </c>
      <c r="Y77" s="2" t="s">
        <v>3</v>
      </c>
      <c r="Z77" s="3" t="s">
        <v>4</v>
      </c>
      <c r="AA77" s="3" t="s">
        <v>5</v>
      </c>
      <c r="AB77" s="4" t="s">
        <v>6</v>
      </c>
      <c r="AC77" s="5" t="s">
        <v>7</v>
      </c>
    </row>
    <row r="78" spans="1:30" x14ac:dyDescent="0.3">
      <c r="A78" s="7" t="s">
        <v>281</v>
      </c>
      <c r="B78" s="8" t="s">
        <v>34</v>
      </c>
      <c r="C78" s="9">
        <v>45.75</v>
      </c>
      <c r="D78" s="10">
        <v>0.04</v>
      </c>
      <c r="E78" s="11">
        <f t="shared" ref="E78:E80" si="33">+D78*C78</f>
        <v>1.83</v>
      </c>
      <c r="G78" s="7" t="s">
        <v>427</v>
      </c>
      <c r="H78" s="8" t="s">
        <v>34</v>
      </c>
      <c r="I78" s="9">
        <v>11.5</v>
      </c>
      <c r="J78" s="10">
        <v>0.21</v>
      </c>
      <c r="K78" s="11">
        <f t="shared" ref="K78:K80" si="34">+J78*I78</f>
        <v>2.415</v>
      </c>
      <c r="M78" s="7" t="s">
        <v>427</v>
      </c>
      <c r="N78" s="8" t="s">
        <v>34</v>
      </c>
      <c r="O78" s="9">
        <v>2</v>
      </c>
      <c r="P78" s="10">
        <v>1</v>
      </c>
      <c r="Q78" s="11">
        <f t="shared" ref="Q78:Q80" si="35">+P78*O78</f>
        <v>2</v>
      </c>
      <c r="S78" s="7" t="s">
        <v>431</v>
      </c>
      <c r="T78" s="8" t="s">
        <v>34</v>
      </c>
      <c r="U78" s="9">
        <v>54.45</v>
      </c>
      <c r="V78" s="10">
        <v>2.5000000000000001E-2</v>
      </c>
      <c r="W78" s="11">
        <f t="shared" ref="W78:W81" si="36">+V78*U78</f>
        <v>1.3612500000000001</v>
      </c>
      <c r="Y78" s="7" t="s">
        <v>432</v>
      </c>
      <c r="Z78" s="8" t="s">
        <v>34</v>
      </c>
      <c r="AA78" s="9">
        <v>14.38</v>
      </c>
      <c r="AB78" s="10">
        <v>0.04</v>
      </c>
      <c r="AC78" s="11">
        <f t="shared" ref="AC78:AC82" si="37">+AB78*AA78</f>
        <v>0.57520000000000004</v>
      </c>
    </row>
    <row r="79" spans="1:30" x14ac:dyDescent="0.3">
      <c r="A79" s="15" t="s">
        <v>282</v>
      </c>
      <c r="B79" s="16"/>
      <c r="C79" s="17">
        <v>9.6</v>
      </c>
      <c r="D79" s="18">
        <v>0.03</v>
      </c>
      <c r="E79" s="11">
        <f t="shared" si="33"/>
        <v>0.28799999999999998</v>
      </c>
      <c r="G79" s="15" t="s">
        <v>398</v>
      </c>
      <c r="H79" s="16"/>
      <c r="I79" s="17">
        <v>8.6999999999999993</v>
      </c>
      <c r="J79" s="18">
        <v>0.1</v>
      </c>
      <c r="K79" s="11">
        <f t="shared" si="34"/>
        <v>0.87</v>
      </c>
      <c r="M79" s="15" t="s">
        <v>430</v>
      </c>
      <c r="N79" s="16"/>
      <c r="O79" s="17">
        <v>1</v>
      </c>
      <c r="P79" s="18">
        <v>0.25</v>
      </c>
      <c r="Q79" s="11">
        <f t="shared" si="35"/>
        <v>0.25</v>
      </c>
      <c r="S79" s="15" t="s">
        <v>144</v>
      </c>
      <c r="T79" s="16"/>
      <c r="U79" s="17">
        <v>11</v>
      </c>
      <c r="V79" s="18">
        <v>0.06</v>
      </c>
      <c r="W79" s="11">
        <f t="shared" si="36"/>
        <v>0.65999999999999992</v>
      </c>
      <c r="Y79" s="15" t="s">
        <v>400</v>
      </c>
      <c r="Z79" s="16" t="s">
        <v>44</v>
      </c>
      <c r="AA79" s="17">
        <v>2</v>
      </c>
      <c r="AB79" s="18">
        <v>0.1</v>
      </c>
      <c r="AC79" s="11">
        <f t="shared" si="37"/>
        <v>0.2</v>
      </c>
    </row>
    <row r="80" spans="1:30" x14ac:dyDescent="0.3">
      <c r="A80" s="15" t="s">
        <v>424</v>
      </c>
      <c r="B80" s="16"/>
      <c r="C80" s="17">
        <v>0.25</v>
      </c>
      <c r="D80" s="18">
        <v>1</v>
      </c>
      <c r="E80" s="11">
        <f t="shared" si="33"/>
        <v>0.25</v>
      </c>
      <c r="G80" s="15" t="s">
        <v>137</v>
      </c>
      <c r="H80" s="16"/>
      <c r="I80" s="17">
        <v>1</v>
      </c>
      <c r="J80" s="18">
        <v>0.05</v>
      </c>
      <c r="K80" s="11">
        <f t="shared" si="34"/>
        <v>0.05</v>
      </c>
      <c r="M80" s="15" t="s">
        <v>199</v>
      </c>
      <c r="N80" s="16"/>
      <c r="O80" s="17">
        <v>1</v>
      </c>
      <c r="P80" s="18">
        <v>0.6</v>
      </c>
      <c r="Q80" s="11">
        <f t="shared" si="35"/>
        <v>0.6</v>
      </c>
      <c r="S80" s="15" t="s">
        <v>199</v>
      </c>
      <c r="T80" s="16"/>
      <c r="U80" s="17">
        <v>1</v>
      </c>
      <c r="V80" s="18">
        <v>0.6</v>
      </c>
      <c r="W80" s="11">
        <f t="shared" si="36"/>
        <v>0.6</v>
      </c>
      <c r="Y80" s="15" t="s">
        <v>433</v>
      </c>
      <c r="Z80" s="16" t="s">
        <v>11</v>
      </c>
      <c r="AA80" s="17">
        <v>12.04</v>
      </c>
      <c r="AB80" s="18">
        <v>0.06</v>
      </c>
      <c r="AC80" s="11">
        <f t="shared" si="37"/>
        <v>0.72239999999999993</v>
      </c>
    </row>
    <row r="81" spans="1:29" x14ac:dyDescent="0.3">
      <c r="A81" s="15" t="s">
        <v>136</v>
      </c>
      <c r="B81" s="16"/>
      <c r="C81" s="17"/>
      <c r="D81" s="18"/>
      <c r="E81" s="11"/>
      <c r="G81" s="15" t="s">
        <v>428</v>
      </c>
      <c r="H81" s="16"/>
      <c r="I81" s="17"/>
      <c r="J81" s="18"/>
      <c r="K81" s="11"/>
      <c r="M81" s="15"/>
      <c r="N81" s="16"/>
      <c r="O81" s="17"/>
      <c r="P81" s="18"/>
      <c r="Q81" s="11"/>
      <c r="S81" s="15" t="s">
        <v>424</v>
      </c>
      <c r="T81" s="16"/>
      <c r="U81" s="17">
        <v>0.25</v>
      </c>
      <c r="V81" s="18">
        <v>1</v>
      </c>
      <c r="W81" s="11">
        <f t="shared" si="36"/>
        <v>0.25</v>
      </c>
      <c r="Y81" s="15" t="s">
        <v>424</v>
      </c>
      <c r="Z81" s="16"/>
      <c r="AA81" s="17">
        <v>0.25</v>
      </c>
      <c r="AB81" s="18">
        <v>1</v>
      </c>
      <c r="AC81" s="11">
        <f t="shared" si="37"/>
        <v>0.25</v>
      </c>
    </row>
    <row r="82" spans="1:29" x14ac:dyDescent="0.3">
      <c r="A82" s="15" t="s">
        <v>248</v>
      </c>
      <c r="B82" s="16"/>
      <c r="C82" s="17"/>
      <c r="D82" s="18">
        <v>0</v>
      </c>
      <c r="E82" s="11">
        <f t="shared" ref="E82:E84" si="38">+D82*C82</f>
        <v>0</v>
      </c>
      <c r="G82" s="15" t="s">
        <v>248</v>
      </c>
      <c r="H82" s="16"/>
      <c r="I82" s="17"/>
      <c r="J82" s="18">
        <v>0</v>
      </c>
      <c r="K82" s="11">
        <f t="shared" ref="K82" si="39">+J82*I82</f>
        <v>0</v>
      </c>
      <c r="M82" s="15"/>
      <c r="N82" s="16"/>
      <c r="O82" s="17"/>
      <c r="P82" s="18"/>
      <c r="Q82" s="11"/>
      <c r="S82" s="15"/>
      <c r="T82" s="16"/>
      <c r="U82" s="17"/>
      <c r="V82" s="18"/>
      <c r="W82" s="11"/>
      <c r="Y82" s="15"/>
      <c r="Z82" s="16"/>
      <c r="AA82" s="17">
        <v>1</v>
      </c>
      <c r="AB82" s="18">
        <v>0.06</v>
      </c>
      <c r="AC82" s="11">
        <f t="shared" si="37"/>
        <v>0.06</v>
      </c>
    </row>
    <row r="83" spans="1:29" x14ac:dyDescent="0.3">
      <c r="A83" s="15" t="s">
        <v>425</v>
      </c>
      <c r="B83" s="16"/>
      <c r="C83" s="17"/>
      <c r="D83" s="18"/>
      <c r="E83" s="11">
        <v>2E-3</v>
      </c>
      <c r="G83" s="15" t="s">
        <v>429</v>
      </c>
      <c r="H83" s="16"/>
      <c r="I83" s="17">
        <v>1</v>
      </c>
      <c r="J83" s="18">
        <v>3</v>
      </c>
      <c r="K83" s="11">
        <v>3</v>
      </c>
      <c r="M83" s="15"/>
      <c r="N83" s="16"/>
      <c r="O83" s="17"/>
      <c r="P83" s="18"/>
      <c r="Q83" s="11"/>
      <c r="S83" s="15"/>
      <c r="T83" s="16"/>
      <c r="U83" s="17"/>
      <c r="V83" s="18"/>
      <c r="W83" s="11"/>
      <c r="Y83" s="15"/>
      <c r="Z83" s="16"/>
      <c r="AA83" s="17"/>
      <c r="AB83" s="18"/>
      <c r="AC83" s="11"/>
    </row>
    <row r="84" spans="1:29" x14ac:dyDescent="0.3">
      <c r="A84" s="15" t="s">
        <v>199</v>
      </c>
      <c r="B84" s="16"/>
      <c r="C84" s="17">
        <v>0.6</v>
      </c>
      <c r="D84" s="18">
        <v>1</v>
      </c>
      <c r="E84" s="11">
        <f t="shared" si="38"/>
        <v>0.6</v>
      </c>
      <c r="G84" s="15"/>
      <c r="H84" s="16"/>
      <c r="I84" s="17"/>
      <c r="J84" s="18"/>
      <c r="K84" s="11"/>
      <c r="M84" s="15"/>
      <c r="N84" s="16"/>
      <c r="O84" s="17"/>
      <c r="P84" s="18"/>
      <c r="Q84" s="11"/>
      <c r="S84" s="15"/>
      <c r="T84" s="16"/>
      <c r="U84" s="17"/>
      <c r="V84" s="18"/>
      <c r="W84" s="11"/>
      <c r="Y84" s="15"/>
      <c r="Z84" s="16"/>
      <c r="AA84" s="17"/>
      <c r="AB84" s="18"/>
      <c r="AC84" s="11"/>
    </row>
    <row r="85" spans="1:29" x14ac:dyDescent="0.3">
      <c r="A85" s="15"/>
      <c r="B85" s="16"/>
      <c r="C85" s="17" t="s">
        <v>284</v>
      </c>
      <c r="D85" s="18"/>
      <c r="E85" s="11"/>
      <c r="G85" s="15"/>
      <c r="H85" s="16"/>
      <c r="I85" s="17" t="s">
        <v>284</v>
      </c>
      <c r="J85" s="18"/>
      <c r="K85" s="11"/>
      <c r="M85" s="15"/>
      <c r="N85" s="16"/>
      <c r="O85" s="17" t="s">
        <v>284</v>
      </c>
      <c r="P85" s="18"/>
      <c r="Q85" s="11"/>
      <c r="S85" s="15"/>
      <c r="T85" s="16"/>
      <c r="U85" s="17" t="s">
        <v>284</v>
      </c>
      <c r="V85" s="18"/>
      <c r="W85" s="11"/>
      <c r="Y85" s="15"/>
      <c r="Z85" s="16"/>
      <c r="AA85" s="17" t="s">
        <v>284</v>
      </c>
      <c r="AB85" s="18"/>
      <c r="AC85" s="11"/>
    </row>
    <row r="86" spans="1:29" x14ac:dyDescent="0.3">
      <c r="A86" s="19"/>
      <c r="B86" s="20"/>
      <c r="C86" s="20"/>
      <c r="D86" s="21"/>
      <c r="E86" s="11">
        <f t="shared" ref="E86:E92" si="40">+D86*C86</f>
        <v>0</v>
      </c>
      <c r="G86" s="19"/>
      <c r="H86" s="20"/>
      <c r="I86" s="20"/>
      <c r="J86" s="21"/>
      <c r="K86" s="11">
        <f t="shared" ref="K86:K92" si="41">+J86*I86</f>
        <v>0</v>
      </c>
      <c r="M86" s="19"/>
      <c r="N86" s="20"/>
      <c r="O86" s="20"/>
      <c r="P86" s="21"/>
      <c r="Q86" s="11">
        <f t="shared" ref="Q86:Q92" si="42">+P86*O86</f>
        <v>0</v>
      </c>
      <c r="S86" s="19"/>
      <c r="T86" s="20"/>
      <c r="U86" s="20"/>
      <c r="V86" s="21"/>
      <c r="W86" s="11">
        <f t="shared" ref="W86:W92" si="43">+V86*U86</f>
        <v>0</v>
      </c>
      <c r="Y86" s="19"/>
      <c r="Z86" s="20"/>
      <c r="AA86" s="20"/>
      <c r="AB86" s="21"/>
      <c r="AC86" s="11">
        <f t="shared" ref="AC86:AC92" si="44">+AB86*AA86</f>
        <v>0</v>
      </c>
    </row>
    <row r="87" spans="1:29" x14ac:dyDescent="0.3">
      <c r="A87" s="19"/>
      <c r="B87" s="20"/>
      <c r="C87" s="20"/>
      <c r="D87" s="21"/>
      <c r="E87" s="11">
        <f t="shared" si="40"/>
        <v>0</v>
      </c>
      <c r="G87" s="19"/>
      <c r="H87" s="20"/>
      <c r="I87" s="20"/>
      <c r="J87" s="21"/>
      <c r="K87" s="11">
        <f t="shared" si="41"/>
        <v>0</v>
      </c>
      <c r="M87" s="19"/>
      <c r="N87" s="20"/>
      <c r="O87" s="20"/>
      <c r="P87" s="21"/>
      <c r="Q87" s="11">
        <f t="shared" si="42"/>
        <v>0</v>
      </c>
      <c r="S87" s="19"/>
      <c r="T87" s="20"/>
      <c r="U87" s="20"/>
      <c r="V87" s="21"/>
      <c r="W87" s="11">
        <f t="shared" si="43"/>
        <v>0</v>
      </c>
      <c r="Y87" s="19"/>
      <c r="Z87" s="20"/>
      <c r="AA87" s="20"/>
      <c r="AB87" s="21"/>
      <c r="AC87" s="11">
        <f t="shared" si="44"/>
        <v>0</v>
      </c>
    </row>
    <row r="88" spans="1:29" x14ac:dyDescent="0.3">
      <c r="A88" s="19"/>
      <c r="B88" s="20"/>
      <c r="C88" s="20"/>
      <c r="D88" s="21"/>
      <c r="E88" s="11">
        <f t="shared" si="40"/>
        <v>0</v>
      </c>
      <c r="G88" s="19"/>
      <c r="H88" s="20"/>
      <c r="I88" s="20"/>
      <c r="J88" s="21"/>
      <c r="K88" s="11">
        <f t="shared" si="41"/>
        <v>0</v>
      </c>
      <c r="M88" s="19"/>
      <c r="N88" s="20"/>
      <c r="O88" s="20"/>
      <c r="P88" s="21"/>
      <c r="Q88" s="11">
        <f t="shared" si="42"/>
        <v>0</v>
      </c>
      <c r="S88" s="19"/>
      <c r="T88" s="20"/>
      <c r="U88" s="20"/>
      <c r="V88" s="21"/>
      <c r="W88" s="11">
        <f t="shared" si="43"/>
        <v>0</v>
      </c>
      <c r="Y88" s="19"/>
      <c r="Z88" s="20"/>
      <c r="AA88" s="20"/>
      <c r="AB88" s="21"/>
      <c r="AC88" s="11">
        <f t="shared" si="44"/>
        <v>0</v>
      </c>
    </row>
    <row r="89" spans="1:29" x14ac:dyDescent="0.3">
      <c r="A89" s="19"/>
      <c r="B89" s="20"/>
      <c r="C89" s="20"/>
      <c r="D89" s="21"/>
      <c r="E89" s="11">
        <f t="shared" si="40"/>
        <v>0</v>
      </c>
      <c r="G89" s="19"/>
      <c r="H89" s="20"/>
      <c r="I89" s="20"/>
      <c r="J89" s="21"/>
      <c r="K89" s="11">
        <f t="shared" si="41"/>
        <v>0</v>
      </c>
      <c r="M89" s="19"/>
      <c r="N89" s="20"/>
      <c r="O89" s="20"/>
      <c r="P89" s="21"/>
      <c r="Q89" s="11">
        <f t="shared" si="42"/>
        <v>0</v>
      </c>
      <c r="S89" s="19"/>
      <c r="T89" s="20"/>
      <c r="U89" s="20"/>
      <c r="V89" s="21"/>
      <c r="W89" s="11">
        <f t="shared" si="43"/>
        <v>0</v>
      </c>
      <c r="Y89" s="19"/>
      <c r="Z89" s="20"/>
      <c r="AA89" s="20"/>
      <c r="AB89" s="21"/>
      <c r="AC89" s="11">
        <f t="shared" si="44"/>
        <v>0</v>
      </c>
    </row>
    <row r="90" spans="1:29" x14ac:dyDescent="0.3">
      <c r="A90" s="19"/>
      <c r="B90" s="20"/>
      <c r="C90" s="20"/>
      <c r="D90" s="21"/>
      <c r="E90" s="11">
        <f t="shared" si="40"/>
        <v>0</v>
      </c>
      <c r="G90" s="19"/>
      <c r="H90" s="20"/>
      <c r="I90" s="20"/>
      <c r="J90" s="21"/>
      <c r="K90" s="11">
        <f t="shared" si="41"/>
        <v>0</v>
      </c>
      <c r="M90" s="19"/>
      <c r="N90" s="20"/>
      <c r="O90" s="20"/>
      <c r="P90" s="21"/>
      <c r="Q90" s="11">
        <f t="shared" si="42"/>
        <v>0</v>
      </c>
      <c r="S90" s="19"/>
      <c r="T90" s="20"/>
      <c r="U90" s="20"/>
      <c r="V90" s="21"/>
      <c r="W90" s="11">
        <f t="shared" si="43"/>
        <v>0</v>
      </c>
      <c r="Y90" s="19"/>
      <c r="Z90" s="20"/>
      <c r="AA90" s="20"/>
      <c r="AB90" s="21"/>
      <c r="AC90" s="11">
        <f t="shared" si="44"/>
        <v>0</v>
      </c>
    </row>
    <row r="91" spans="1:29" x14ac:dyDescent="0.3">
      <c r="A91" s="19"/>
      <c r="B91" s="20"/>
      <c r="C91" s="20"/>
      <c r="D91" s="21"/>
      <c r="E91" s="11">
        <f t="shared" si="40"/>
        <v>0</v>
      </c>
      <c r="G91" s="19"/>
      <c r="H91" s="20"/>
      <c r="I91" s="20"/>
      <c r="J91" s="21"/>
      <c r="K91" s="11">
        <f t="shared" si="41"/>
        <v>0</v>
      </c>
      <c r="M91" s="19"/>
      <c r="N91" s="20"/>
      <c r="O91" s="20"/>
      <c r="P91" s="21"/>
      <c r="Q91" s="11">
        <f t="shared" si="42"/>
        <v>0</v>
      </c>
      <c r="S91" s="19"/>
      <c r="T91" s="20"/>
      <c r="U91" s="20"/>
      <c r="V91" s="21"/>
      <c r="W91" s="11">
        <f t="shared" si="43"/>
        <v>0</v>
      </c>
      <c r="Y91" s="19"/>
      <c r="Z91" s="20"/>
      <c r="AA91" s="20"/>
      <c r="AB91" s="21"/>
      <c r="AC91" s="11">
        <f t="shared" si="44"/>
        <v>0</v>
      </c>
    </row>
    <row r="92" spans="1:29" x14ac:dyDescent="0.3">
      <c r="A92" s="19"/>
      <c r="B92" s="20"/>
      <c r="C92" s="20"/>
      <c r="D92" s="21"/>
      <c r="E92" s="11">
        <f t="shared" si="40"/>
        <v>0</v>
      </c>
      <c r="G92" s="19"/>
      <c r="H92" s="20"/>
      <c r="I92" s="20"/>
      <c r="J92" s="21"/>
      <c r="K92" s="11">
        <f t="shared" si="41"/>
        <v>0</v>
      </c>
      <c r="M92" s="19"/>
      <c r="N92" s="20"/>
      <c r="O92" s="20"/>
      <c r="P92" s="21"/>
      <c r="Q92" s="11">
        <f t="shared" si="42"/>
        <v>0</v>
      </c>
      <c r="S92" s="19"/>
      <c r="T92" s="20"/>
      <c r="U92" s="20"/>
      <c r="V92" s="21"/>
      <c r="W92" s="11">
        <f t="shared" si="43"/>
        <v>0</v>
      </c>
      <c r="Y92" s="19"/>
      <c r="Z92" s="20"/>
      <c r="AA92" s="20"/>
      <c r="AB92" s="21"/>
      <c r="AC92" s="11">
        <f t="shared" si="44"/>
        <v>0</v>
      </c>
    </row>
    <row r="93" spans="1:29" ht="15" thickBot="1" x14ac:dyDescent="0.35">
      <c r="A93" s="22"/>
      <c r="B93" s="23"/>
      <c r="C93" s="23"/>
      <c r="D93" s="24"/>
      <c r="E93" s="25"/>
      <c r="G93" s="22"/>
      <c r="H93" s="23"/>
      <c r="I93" s="23"/>
      <c r="J93" s="24"/>
      <c r="K93" s="25"/>
      <c r="M93" s="22"/>
      <c r="N93" s="23"/>
      <c r="O93" s="23"/>
      <c r="P93" s="24"/>
      <c r="Q93" s="25"/>
      <c r="S93" s="22"/>
      <c r="T93" s="23"/>
      <c r="U93" s="23"/>
      <c r="V93" s="24"/>
      <c r="W93" s="25"/>
      <c r="Y93" s="22"/>
      <c r="Z93" s="23"/>
      <c r="AA93" s="23"/>
      <c r="AB93" s="24"/>
      <c r="AC93" s="25"/>
    </row>
    <row r="94" spans="1:29" ht="15" thickBot="1" x14ac:dyDescent="0.35">
      <c r="A94" s="1"/>
      <c r="B94" s="1"/>
      <c r="C94" s="72" t="s">
        <v>26</v>
      </c>
      <c r="D94" s="73"/>
      <c r="E94" s="26">
        <f>SUM(E78:E93)</f>
        <v>2.9699999999999998</v>
      </c>
      <c r="G94" s="1"/>
      <c r="H94" s="1"/>
      <c r="I94" s="72" t="s">
        <v>26</v>
      </c>
      <c r="J94" s="73"/>
      <c r="K94" s="26">
        <f>SUM(K78:K93)</f>
        <v>6.335</v>
      </c>
      <c r="M94" s="1"/>
      <c r="N94" s="1"/>
      <c r="O94" s="72" t="s">
        <v>26</v>
      </c>
      <c r="P94" s="73"/>
      <c r="Q94" s="26">
        <f>SUM(Q78:Q93)</f>
        <v>2.85</v>
      </c>
      <c r="S94" s="1"/>
      <c r="T94" s="1"/>
      <c r="U94" s="72" t="s">
        <v>26</v>
      </c>
      <c r="V94" s="73"/>
      <c r="W94" s="26">
        <f>SUM(W78:W93)</f>
        <v>2.8712500000000003</v>
      </c>
      <c r="Y94" s="1"/>
      <c r="Z94" s="1"/>
      <c r="AA94" s="72" t="s">
        <v>26</v>
      </c>
      <c r="AB94" s="73"/>
      <c r="AC94" s="26">
        <f>SUM(AC78:AC93)</f>
        <v>1.8076000000000001</v>
      </c>
    </row>
    <row r="95" spans="1:29" ht="15" thickBot="1" x14ac:dyDescent="0.35">
      <c r="A95" s="1"/>
      <c r="B95" s="1"/>
      <c r="C95" s="72" t="s">
        <v>27</v>
      </c>
      <c r="D95" s="73"/>
      <c r="E95" s="26">
        <f>+E94*1.145</f>
        <v>3.4006499999999997</v>
      </c>
      <c r="G95" s="1"/>
      <c r="H95" s="1"/>
      <c r="I95" s="72" t="s">
        <v>27</v>
      </c>
      <c r="J95" s="73"/>
      <c r="K95" s="26">
        <f>+K94*1.145</f>
        <v>7.2535749999999997</v>
      </c>
      <c r="L95">
        <f>K95/3</f>
        <v>2.4178583333333332</v>
      </c>
      <c r="M95" s="1"/>
      <c r="N95" s="1"/>
      <c r="O95" s="72" t="s">
        <v>27</v>
      </c>
      <c r="P95" s="73"/>
      <c r="Q95" s="26">
        <f>+Q94*1.145</f>
        <v>3.2632500000000002</v>
      </c>
      <c r="S95" s="1"/>
      <c r="T95" s="1"/>
      <c r="U95" s="72" t="s">
        <v>27</v>
      </c>
      <c r="V95" s="73"/>
      <c r="W95" s="26">
        <f>+W94*1.145</f>
        <v>3.2875812500000006</v>
      </c>
      <c r="Y95" s="1"/>
      <c r="Z95" s="1"/>
      <c r="AA95" s="72" t="s">
        <v>27</v>
      </c>
      <c r="AB95" s="73"/>
      <c r="AC95" s="26">
        <f>+AC94*1.145</f>
        <v>2.0697019999999999</v>
      </c>
    </row>
    <row r="96" spans="1:29" ht="15" thickBot="1" x14ac:dyDescent="0.35">
      <c r="A96" s="1"/>
      <c r="B96" s="1"/>
      <c r="C96" s="72" t="s">
        <v>28</v>
      </c>
      <c r="D96" s="73"/>
      <c r="E96" s="26">
        <v>14</v>
      </c>
      <c r="G96" s="1"/>
      <c r="H96" s="1"/>
      <c r="I96" s="72" t="s">
        <v>28</v>
      </c>
      <c r="J96" s="73"/>
      <c r="K96" s="26">
        <v>14</v>
      </c>
      <c r="M96" s="1"/>
      <c r="N96" s="1"/>
      <c r="O96" s="72" t="s">
        <v>28</v>
      </c>
      <c r="P96" s="73"/>
      <c r="Q96" s="26">
        <v>12</v>
      </c>
      <c r="S96" s="1"/>
      <c r="T96" s="1"/>
      <c r="U96" s="72" t="s">
        <v>28</v>
      </c>
      <c r="V96" s="73"/>
      <c r="W96" s="26">
        <v>14</v>
      </c>
      <c r="Y96" s="1"/>
      <c r="Z96" s="1"/>
      <c r="AA96" s="72" t="s">
        <v>28</v>
      </c>
      <c r="AB96" s="73"/>
      <c r="AC96" s="26">
        <v>12</v>
      </c>
    </row>
    <row r="97" spans="1:29" ht="15" thickBot="1" x14ac:dyDescent="0.35">
      <c r="A97" s="1"/>
      <c r="B97" s="1"/>
      <c r="C97" s="72" t="s">
        <v>29</v>
      </c>
      <c r="D97" s="74"/>
      <c r="E97" s="27">
        <f>E95/E96*100</f>
        <v>24.29035714285714</v>
      </c>
      <c r="G97" s="1"/>
      <c r="H97" s="1"/>
      <c r="I97" s="72" t="s">
        <v>29</v>
      </c>
      <c r="J97" s="74"/>
      <c r="K97" s="27">
        <f>K95/K96*100</f>
        <v>51.811250000000001</v>
      </c>
      <c r="M97" s="1"/>
      <c r="N97" s="1"/>
      <c r="O97" s="72" t="s">
        <v>29</v>
      </c>
      <c r="P97" s="74"/>
      <c r="Q97" s="27">
        <f>Q95/Q96*100</f>
        <v>27.193750000000001</v>
      </c>
      <c r="S97" s="1"/>
      <c r="T97" s="1"/>
      <c r="U97" s="72" t="s">
        <v>29</v>
      </c>
      <c r="V97" s="74"/>
      <c r="W97" s="27">
        <f>W95/W96*100</f>
        <v>23.48272321428572</v>
      </c>
      <c r="Y97" s="1"/>
      <c r="Z97" s="1"/>
      <c r="AA97" s="72" t="s">
        <v>29</v>
      </c>
      <c r="AB97" s="74"/>
      <c r="AC97" s="27">
        <f>AC95/AC96*100</f>
        <v>17.247516666666666</v>
      </c>
    </row>
    <row r="98" spans="1:29" x14ac:dyDescent="0.3">
      <c r="A98" s="1"/>
      <c r="B98" s="1"/>
      <c r="C98" s="1"/>
      <c r="D98" s="28" t="s">
        <v>30</v>
      </c>
      <c r="E98" s="16">
        <f>100-E97</f>
        <v>75.709642857142853</v>
      </c>
      <c r="G98" s="1"/>
      <c r="H98" s="1"/>
      <c r="I98" s="1"/>
      <c r="J98" s="28" t="s">
        <v>30</v>
      </c>
      <c r="K98" s="16">
        <f>100-K97</f>
        <v>48.188749999999999</v>
      </c>
      <c r="M98" s="1"/>
      <c r="N98" s="1"/>
      <c r="O98" s="1"/>
      <c r="P98" s="28" t="s">
        <v>30</v>
      </c>
      <c r="Q98" s="16">
        <f>100-Q97</f>
        <v>72.806250000000006</v>
      </c>
      <c r="S98" s="1"/>
      <c r="T98" s="1"/>
      <c r="U98" s="1"/>
      <c r="V98" s="28" t="s">
        <v>30</v>
      </c>
      <c r="W98" s="16">
        <f>100-W97</f>
        <v>76.517276785714273</v>
      </c>
      <c r="Y98" s="1"/>
      <c r="Z98" s="1"/>
      <c r="AA98" s="1"/>
      <c r="AB98" s="28" t="s">
        <v>30</v>
      </c>
      <c r="AC98" s="16">
        <f>100-AC97</f>
        <v>82.752483333333331</v>
      </c>
    </row>
  </sheetData>
  <mergeCells count="159">
    <mergeCell ref="S76:W76"/>
    <mergeCell ref="U94:V94"/>
    <mergeCell ref="U95:V95"/>
    <mergeCell ref="U96:V96"/>
    <mergeCell ref="U97:V97"/>
    <mergeCell ref="Y76:AC76"/>
    <mergeCell ref="AA94:AB94"/>
    <mergeCell ref="AA95:AB95"/>
    <mergeCell ref="AA96:AB96"/>
    <mergeCell ref="AA97:AB97"/>
    <mergeCell ref="C97:D97"/>
    <mergeCell ref="G76:K76"/>
    <mergeCell ref="I94:J94"/>
    <mergeCell ref="I95:J95"/>
    <mergeCell ref="I96:J96"/>
    <mergeCell ref="I97:J97"/>
    <mergeCell ref="M76:Q76"/>
    <mergeCell ref="O94:P94"/>
    <mergeCell ref="O95:P95"/>
    <mergeCell ref="O96:P96"/>
    <mergeCell ref="O97:P97"/>
    <mergeCell ref="A52:E52"/>
    <mergeCell ref="C70:D70"/>
    <mergeCell ref="C71:D71"/>
    <mergeCell ref="C72:D72"/>
    <mergeCell ref="C73:D73"/>
    <mergeCell ref="A76:E76"/>
    <mergeCell ref="C94:D94"/>
    <mergeCell ref="C95:D95"/>
    <mergeCell ref="C96:D96"/>
    <mergeCell ref="AB72:AC72"/>
    <mergeCell ref="AB73:AC73"/>
    <mergeCell ref="J64:K64"/>
    <mergeCell ref="J65:K65"/>
    <mergeCell ref="J66:K66"/>
    <mergeCell ref="J67:K67"/>
    <mergeCell ref="P70:Q70"/>
    <mergeCell ref="P71:Q71"/>
    <mergeCell ref="P72:Q72"/>
    <mergeCell ref="P73:Q73"/>
    <mergeCell ref="V70:W70"/>
    <mergeCell ref="V71:W71"/>
    <mergeCell ref="V72:W72"/>
    <mergeCell ref="V73:W73"/>
    <mergeCell ref="J45:K45"/>
    <mergeCell ref="J46:K46"/>
    <mergeCell ref="J47:K47"/>
    <mergeCell ref="J48:K48"/>
    <mergeCell ref="N52:R52"/>
    <mergeCell ref="T52:X52"/>
    <mergeCell ref="Z52:AD52"/>
    <mergeCell ref="AB70:AC70"/>
    <mergeCell ref="AB71:AC71"/>
    <mergeCell ref="H52:L52"/>
    <mergeCell ref="CM2:CQ2"/>
    <mergeCell ref="CO17:CP17"/>
    <mergeCell ref="CO18:CP18"/>
    <mergeCell ref="CO19:CP19"/>
    <mergeCell ref="CO20:CP20"/>
    <mergeCell ref="CG2:CK2"/>
    <mergeCell ref="CI20:CJ20"/>
    <mergeCell ref="CI21:CJ21"/>
    <mergeCell ref="CI22:CJ22"/>
    <mergeCell ref="CI23:CJ23"/>
    <mergeCell ref="CA2:CE2"/>
    <mergeCell ref="CC20:CD20"/>
    <mergeCell ref="CC21:CD21"/>
    <mergeCell ref="CC22:CD22"/>
    <mergeCell ref="CC23:CD23"/>
    <mergeCell ref="BU2:BY2"/>
    <mergeCell ref="BW20:BX20"/>
    <mergeCell ref="BW21:BX21"/>
    <mergeCell ref="BW22:BX22"/>
    <mergeCell ref="A27:E27"/>
    <mergeCell ref="C45:D45"/>
    <mergeCell ref="C46:D46"/>
    <mergeCell ref="C47:D47"/>
    <mergeCell ref="C48:D48"/>
    <mergeCell ref="AY22:AZ22"/>
    <mergeCell ref="AY23:AZ23"/>
    <mergeCell ref="BW23:BX23"/>
    <mergeCell ref="Z27:AD27"/>
    <mergeCell ref="AB40:AC40"/>
    <mergeCell ref="AB41:AC41"/>
    <mergeCell ref="AB42:AC42"/>
    <mergeCell ref="AB43:AC43"/>
    <mergeCell ref="N27:R27"/>
    <mergeCell ref="T27:X27"/>
    <mergeCell ref="H27:L27"/>
    <mergeCell ref="V45:W45"/>
    <mergeCell ref="V46:W46"/>
    <mergeCell ref="V47:W47"/>
    <mergeCell ref="V48:W48"/>
    <mergeCell ref="P45:Q45"/>
    <mergeCell ref="P46:Q46"/>
    <mergeCell ref="P47:Q47"/>
    <mergeCell ref="P48:Q48"/>
    <mergeCell ref="BO2:BS2"/>
    <mergeCell ref="BQ20:BR20"/>
    <mergeCell ref="BQ21:BR21"/>
    <mergeCell ref="BQ22:BR22"/>
    <mergeCell ref="BQ23:BR23"/>
    <mergeCell ref="BE21:BF21"/>
    <mergeCell ref="BE22:BF22"/>
    <mergeCell ref="BE23:BF23"/>
    <mergeCell ref="G2:K2"/>
    <mergeCell ref="I20:J20"/>
    <mergeCell ref="I21:J21"/>
    <mergeCell ref="I22:J22"/>
    <mergeCell ref="I23:J23"/>
    <mergeCell ref="O22:P22"/>
    <mergeCell ref="A2:E2"/>
    <mergeCell ref="C20:D20"/>
    <mergeCell ref="C21:D21"/>
    <mergeCell ref="C22:D22"/>
    <mergeCell ref="C23:D23"/>
    <mergeCell ref="O23:P23"/>
    <mergeCell ref="AE2:AI2"/>
    <mergeCell ref="AG7:AH7"/>
    <mergeCell ref="AG8:AH8"/>
    <mergeCell ref="AG9:AH9"/>
    <mergeCell ref="AG10:AH10"/>
    <mergeCell ref="Y2:AC2"/>
    <mergeCell ref="AA20:AB20"/>
    <mergeCell ref="AA21:AB21"/>
    <mergeCell ref="AA22:AB22"/>
    <mergeCell ref="AA23:AB23"/>
    <mergeCell ref="S2:W2"/>
    <mergeCell ref="U17:V17"/>
    <mergeCell ref="U18:V18"/>
    <mergeCell ref="U19:V19"/>
    <mergeCell ref="U20:V20"/>
    <mergeCell ref="M2:Q2"/>
    <mergeCell ref="O20:P20"/>
    <mergeCell ref="O21:P21"/>
    <mergeCell ref="CA27:CE27"/>
    <mergeCell ref="CC45:CD45"/>
    <mergeCell ref="CC46:CD46"/>
    <mergeCell ref="CC47:CD47"/>
    <mergeCell ref="CC48:CD48"/>
    <mergeCell ref="AM23:AN23"/>
    <mergeCell ref="AQ2:AU2"/>
    <mergeCell ref="AS20:AT20"/>
    <mergeCell ref="AS21:AT21"/>
    <mergeCell ref="AS22:AT22"/>
    <mergeCell ref="AS23:AT23"/>
    <mergeCell ref="AK2:AO2"/>
    <mergeCell ref="AM20:AN20"/>
    <mergeCell ref="AM21:AN21"/>
    <mergeCell ref="AM22:AN22"/>
    <mergeCell ref="BE24:BF24"/>
    <mergeCell ref="BI2:BM2"/>
    <mergeCell ref="BK20:BL20"/>
    <mergeCell ref="BK21:BL21"/>
    <mergeCell ref="BK22:BL22"/>
    <mergeCell ref="BK23:BL23"/>
    <mergeCell ref="AW2:BA2"/>
    <mergeCell ref="AY20:AZ20"/>
    <mergeCell ref="AY21:AZ21"/>
  </mergeCells>
  <conditionalFormatting sqref="E23">
    <cfRule type="cellIs" dxfId="45" priority="34" operator="lessThan">
      <formula>0.65</formula>
    </cfRule>
  </conditionalFormatting>
  <conditionalFormatting sqref="E48">
    <cfRule type="cellIs" dxfId="44" priority="17" operator="lessThan">
      <formula>0.65</formula>
    </cfRule>
  </conditionalFormatting>
  <conditionalFormatting sqref="E73">
    <cfRule type="cellIs" dxfId="43" priority="6" operator="lessThan">
      <formula>0.65</formula>
    </cfRule>
  </conditionalFormatting>
  <conditionalFormatting sqref="E97">
    <cfRule type="cellIs" dxfId="42" priority="5" operator="lessThan">
      <formula>0.65</formula>
    </cfRule>
  </conditionalFormatting>
  <conditionalFormatting sqref="K23">
    <cfRule type="cellIs" dxfId="41" priority="33" operator="lessThan">
      <formula>0.65</formula>
    </cfRule>
  </conditionalFormatting>
  <conditionalFormatting sqref="K97">
    <cfRule type="cellIs" dxfId="40" priority="4" operator="lessThan">
      <formula>0.65</formula>
    </cfRule>
  </conditionalFormatting>
  <conditionalFormatting sqref="L48">
    <cfRule type="cellIs" dxfId="39" priority="16" operator="lessThan">
      <formula>0.65</formula>
    </cfRule>
  </conditionalFormatting>
  <conditionalFormatting sqref="L67">
    <cfRule type="cellIs" dxfId="38" priority="13" operator="lessThan">
      <formula>0.65</formula>
    </cfRule>
  </conditionalFormatting>
  <conditionalFormatting sqref="Q23">
    <cfRule type="cellIs" dxfId="37" priority="32" operator="lessThan">
      <formula>0.65</formula>
    </cfRule>
  </conditionalFormatting>
  <conditionalFormatting sqref="Q97">
    <cfRule type="cellIs" dxfId="36" priority="3" operator="lessThan">
      <formula>0.65</formula>
    </cfRule>
  </conditionalFormatting>
  <conditionalFormatting sqref="R48">
    <cfRule type="cellIs" dxfId="35" priority="11" operator="lessThan">
      <formula>0.65</formula>
    </cfRule>
  </conditionalFormatting>
  <conditionalFormatting sqref="R73">
    <cfRule type="cellIs" dxfId="34" priority="9" operator="lessThan">
      <formula>0.65</formula>
    </cfRule>
  </conditionalFormatting>
  <conditionalFormatting sqref="W20">
    <cfRule type="cellIs" dxfId="33" priority="31" operator="lessThan">
      <formula>0.65</formula>
    </cfRule>
  </conditionalFormatting>
  <conditionalFormatting sqref="W97">
    <cfRule type="cellIs" dxfId="32" priority="2" operator="lessThan">
      <formula>0.65</formula>
    </cfRule>
  </conditionalFormatting>
  <conditionalFormatting sqref="X48">
    <cfRule type="cellIs" dxfId="31" priority="14" operator="lessThan">
      <formula>0.65</formula>
    </cfRule>
  </conditionalFormatting>
  <conditionalFormatting sqref="X73">
    <cfRule type="cellIs" dxfId="30" priority="8" operator="lessThan">
      <formula>0.65</formula>
    </cfRule>
  </conditionalFormatting>
  <conditionalFormatting sqref="AC23">
    <cfRule type="cellIs" dxfId="29" priority="30" operator="lessThan">
      <formula>0.65</formula>
    </cfRule>
  </conditionalFormatting>
  <conditionalFormatting sqref="AC97">
    <cfRule type="cellIs" dxfId="28" priority="1" operator="lessThan">
      <formula>0.65</formula>
    </cfRule>
  </conditionalFormatting>
  <conditionalFormatting sqref="AD43">
    <cfRule type="cellIs" dxfId="27" priority="10" operator="lessThan">
      <formula>0.65</formula>
    </cfRule>
  </conditionalFormatting>
  <conditionalFormatting sqref="AD73">
    <cfRule type="cellIs" dxfId="26" priority="7" operator="lessThan">
      <formula>0.65</formula>
    </cfRule>
  </conditionalFormatting>
  <conditionalFormatting sqref="AI10">
    <cfRule type="cellIs" dxfId="25" priority="29" operator="lessThan">
      <formula>0.65</formula>
    </cfRule>
  </conditionalFormatting>
  <conditionalFormatting sqref="AO23">
    <cfRule type="cellIs" dxfId="24" priority="28" operator="lessThan">
      <formula>0.65</formula>
    </cfRule>
  </conditionalFormatting>
  <conditionalFormatting sqref="AU23">
    <cfRule type="cellIs" dxfId="23" priority="27" operator="lessThan">
      <formula>0.65</formula>
    </cfRule>
  </conditionalFormatting>
  <conditionalFormatting sqref="BA23">
    <cfRule type="cellIs" dxfId="22" priority="26" operator="lessThan">
      <formula>0.65</formula>
    </cfRule>
  </conditionalFormatting>
  <conditionalFormatting sqref="BG24">
    <cfRule type="cellIs" dxfId="21" priority="24" operator="lessThan">
      <formula>0.65</formula>
    </cfRule>
  </conditionalFormatting>
  <conditionalFormatting sqref="BM23">
    <cfRule type="cellIs" dxfId="20" priority="22" operator="lessThan">
      <formula>0.65</formula>
    </cfRule>
  </conditionalFormatting>
  <conditionalFormatting sqref="BS23">
    <cfRule type="cellIs" dxfId="19" priority="21" operator="lessThan">
      <formula>0.65</formula>
    </cfRule>
  </conditionalFormatting>
  <conditionalFormatting sqref="BY23">
    <cfRule type="cellIs" dxfId="18" priority="20" operator="lessThan">
      <formula>0.65</formula>
    </cfRule>
  </conditionalFormatting>
  <conditionalFormatting sqref="CE23">
    <cfRule type="cellIs" dxfId="17" priority="19" operator="lessThan">
      <formula>0.65</formula>
    </cfRule>
  </conditionalFormatting>
  <conditionalFormatting sqref="CE48">
    <cfRule type="cellIs" dxfId="16" priority="12" operator="lessThan">
      <formula>0.65</formula>
    </cfRule>
  </conditionalFormatting>
  <conditionalFormatting sqref="CK23">
    <cfRule type="cellIs" dxfId="15" priority="18" operator="lessThan">
      <formula>0.65</formula>
    </cfRule>
  </conditionalFormatting>
  <conditionalFormatting sqref="CQ20">
    <cfRule type="cellIs" dxfId="14" priority="15" operator="lessThan">
      <formula>0.65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D5D88-C8AA-4280-B50E-9A40399CDA13}">
  <dimension ref="B1:H44"/>
  <sheetViews>
    <sheetView workbookViewId="0">
      <selection activeCell="D22" sqref="D22:H22"/>
    </sheetView>
  </sheetViews>
  <sheetFormatPr defaultRowHeight="14.4" x14ac:dyDescent="0.3"/>
  <sheetData>
    <row r="1" spans="2:6" ht="15" thickBot="1" x14ac:dyDescent="0.35"/>
    <row r="2" spans="2:6" ht="15" thickBot="1" x14ac:dyDescent="0.35">
      <c r="B2" s="69" t="s">
        <v>393</v>
      </c>
      <c r="C2" s="70"/>
      <c r="D2" s="70"/>
      <c r="E2" s="70"/>
      <c r="F2" s="71"/>
    </row>
    <row r="3" spans="2:6" ht="15" thickBot="1" x14ac:dyDescent="0.35">
      <c r="B3" s="2" t="s">
        <v>3</v>
      </c>
      <c r="C3" s="3" t="s">
        <v>4</v>
      </c>
      <c r="D3" s="3" t="s">
        <v>5</v>
      </c>
      <c r="E3" s="4" t="s">
        <v>6</v>
      </c>
      <c r="F3" s="5" t="s">
        <v>7</v>
      </c>
    </row>
    <row r="4" spans="2:6" x14ac:dyDescent="0.3">
      <c r="B4" s="7" t="s">
        <v>123</v>
      </c>
      <c r="C4" s="8" t="s">
        <v>34</v>
      </c>
      <c r="D4" s="9">
        <v>4.09</v>
      </c>
      <c r="E4" s="10">
        <v>0.42</v>
      </c>
      <c r="F4" s="11">
        <f t="shared" ref="F4:F11" si="0">+E4*D4</f>
        <v>1.7177999999999998</v>
      </c>
    </row>
    <row r="5" spans="2:6" x14ac:dyDescent="0.3">
      <c r="B5" s="15" t="s">
        <v>349</v>
      </c>
      <c r="C5" s="16"/>
      <c r="D5" s="17">
        <v>0.6</v>
      </c>
      <c r="E5" s="18">
        <v>0.1</v>
      </c>
      <c r="F5" s="11">
        <f t="shared" si="0"/>
        <v>0.06</v>
      </c>
    </row>
    <row r="6" spans="2:6" x14ac:dyDescent="0.3">
      <c r="B6" s="19" t="s">
        <v>154</v>
      </c>
      <c r="C6" s="20" t="s">
        <v>38</v>
      </c>
      <c r="D6" s="20">
        <v>1.5</v>
      </c>
      <c r="E6" s="21">
        <v>0.01</v>
      </c>
      <c r="F6" s="11">
        <f t="shared" si="0"/>
        <v>1.4999999999999999E-2</v>
      </c>
    </row>
    <row r="7" spans="2:6" x14ac:dyDescent="0.3">
      <c r="B7" s="15" t="s">
        <v>142</v>
      </c>
      <c r="C7" s="16" t="s">
        <v>9</v>
      </c>
      <c r="D7" s="17">
        <v>0.15</v>
      </c>
      <c r="E7" s="18">
        <v>0.2</v>
      </c>
      <c r="F7" s="11">
        <f t="shared" si="0"/>
        <v>0.03</v>
      </c>
    </row>
    <row r="8" spans="2:6" x14ac:dyDescent="0.3">
      <c r="B8" s="15" t="s">
        <v>8</v>
      </c>
      <c r="C8" s="16" t="s">
        <v>9</v>
      </c>
      <c r="D8" s="17">
        <v>8.6999999999999993</v>
      </c>
      <c r="E8" s="18">
        <v>0.03</v>
      </c>
      <c r="F8" s="11">
        <f t="shared" si="0"/>
        <v>0.26099999999999995</v>
      </c>
    </row>
    <row r="9" spans="2:6" x14ac:dyDescent="0.3">
      <c r="B9" s="19" t="s">
        <v>166</v>
      </c>
      <c r="C9" s="20" t="s">
        <v>9</v>
      </c>
      <c r="D9" s="20">
        <v>0.02</v>
      </c>
      <c r="E9" s="21">
        <v>2E-3</v>
      </c>
      <c r="F9" s="11">
        <f t="shared" si="0"/>
        <v>4.0000000000000003E-5</v>
      </c>
    </row>
    <row r="10" spans="2:6" x14ac:dyDescent="0.3">
      <c r="B10" s="19" t="s">
        <v>152</v>
      </c>
      <c r="C10" s="20" t="s">
        <v>9</v>
      </c>
      <c r="D10" s="20">
        <v>3</v>
      </c>
      <c r="E10" s="21">
        <v>0.1</v>
      </c>
      <c r="F10" s="11">
        <f t="shared" si="0"/>
        <v>0.30000000000000004</v>
      </c>
    </row>
    <row r="11" spans="2:6" x14ac:dyDescent="0.3">
      <c r="B11" s="19" t="s">
        <v>167</v>
      </c>
      <c r="C11" s="20" t="s">
        <v>9</v>
      </c>
      <c r="D11" s="20">
        <v>11</v>
      </c>
      <c r="E11" s="21">
        <v>2E-3</v>
      </c>
      <c r="F11" s="11">
        <f t="shared" si="0"/>
        <v>2.1999999999999999E-2</v>
      </c>
    </row>
    <row r="12" spans="2:6" x14ac:dyDescent="0.3">
      <c r="B12" s="19" t="s">
        <v>412</v>
      </c>
      <c r="C12" s="20"/>
      <c r="D12" s="20"/>
      <c r="E12" s="21"/>
      <c r="F12" s="11">
        <v>0.18</v>
      </c>
    </row>
    <row r="13" spans="2:6" ht="15" thickBot="1" x14ac:dyDescent="0.35">
      <c r="B13" s="22"/>
      <c r="C13" s="23"/>
      <c r="D13" s="23"/>
      <c r="E13" s="24"/>
      <c r="F13" s="25">
        <v>0.46</v>
      </c>
    </row>
    <row r="14" spans="2:6" ht="15" thickBot="1" x14ac:dyDescent="0.35">
      <c r="B14" s="1"/>
      <c r="C14" s="1"/>
      <c r="D14" s="72" t="s">
        <v>26</v>
      </c>
      <c r="E14" s="73"/>
      <c r="F14" s="26">
        <f>SUM(F4:F13)</f>
        <v>3.0458399999999992</v>
      </c>
    </row>
    <row r="15" spans="2:6" ht="15" thickBot="1" x14ac:dyDescent="0.35">
      <c r="B15" s="1"/>
      <c r="C15" s="1"/>
      <c r="D15" s="72" t="s">
        <v>27</v>
      </c>
      <c r="E15" s="73"/>
      <c r="F15" s="26">
        <f>+F14*1.145</f>
        <v>3.4874867999999992</v>
      </c>
    </row>
    <row r="16" spans="2:6" ht="15" thickBot="1" x14ac:dyDescent="0.35">
      <c r="B16" s="1"/>
      <c r="C16" s="1"/>
      <c r="D16" s="72" t="s">
        <v>28</v>
      </c>
      <c r="E16" s="73"/>
      <c r="F16" s="26">
        <v>15</v>
      </c>
    </row>
    <row r="17" spans="2:8" ht="15" thickBot="1" x14ac:dyDescent="0.35">
      <c r="B17" s="1"/>
      <c r="C17" s="1"/>
      <c r="D17" s="72" t="s">
        <v>29</v>
      </c>
      <c r="E17" s="74"/>
      <c r="F17" s="27">
        <f>F15/F16*100</f>
        <v>23.249911999999995</v>
      </c>
    </row>
    <row r="18" spans="2:8" x14ac:dyDescent="0.3">
      <c r="B18" s="1"/>
      <c r="C18" s="1"/>
      <c r="D18" s="1"/>
      <c r="E18" s="28" t="s">
        <v>30</v>
      </c>
      <c r="F18" s="16">
        <f>100-F17</f>
        <v>76.750088000000005</v>
      </c>
    </row>
    <row r="21" spans="2:8" ht="15" thickBot="1" x14ac:dyDescent="0.35"/>
    <row r="22" spans="2:8" ht="15" thickBot="1" x14ac:dyDescent="0.35">
      <c r="D22" s="69" t="s">
        <v>434</v>
      </c>
      <c r="E22" s="70"/>
      <c r="F22" s="70"/>
      <c r="G22" s="70"/>
      <c r="H22" s="71"/>
    </row>
    <row r="23" spans="2:8" ht="15" thickBot="1" x14ac:dyDescent="0.35">
      <c r="D23" s="2" t="s">
        <v>3</v>
      </c>
      <c r="E23" s="3" t="s">
        <v>4</v>
      </c>
      <c r="F23" s="3" t="s">
        <v>5</v>
      </c>
      <c r="G23" s="4" t="s">
        <v>6</v>
      </c>
      <c r="H23" s="5" t="s">
        <v>7</v>
      </c>
    </row>
    <row r="24" spans="2:8" x14ac:dyDescent="0.3">
      <c r="D24" s="7" t="s">
        <v>22</v>
      </c>
      <c r="E24" s="8" t="s">
        <v>34</v>
      </c>
      <c r="F24" s="9">
        <v>1.43</v>
      </c>
      <c r="G24" s="10">
        <v>0.5</v>
      </c>
      <c r="H24" s="11">
        <f t="shared" ref="H24:H38" si="1">+G24*F24</f>
        <v>0.71499999999999997</v>
      </c>
    </row>
    <row r="25" spans="2:8" x14ac:dyDescent="0.3">
      <c r="D25" s="15" t="s">
        <v>19</v>
      </c>
      <c r="E25" s="16" t="s">
        <v>34</v>
      </c>
      <c r="F25" s="17">
        <v>0.15</v>
      </c>
      <c r="G25" s="18">
        <v>6</v>
      </c>
      <c r="H25" s="11">
        <f t="shared" si="1"/>
        <v>0.89999999999999991</v>
      </c>
    </row>
    <row r="26" spans="2:8" x14ac:dyDescent="0.3">
      <c r="D26" s="15" t="s">
        <v>253</v>
      </c>
      <c r="E26" s="16" t="s">
        <v>38</v>
      </c>
      <c r="F26" s="17">
        <v>13.33</v>
      </c>
      <c r="G26" s="18">
        <v>1.4999999999999999E-2</v>
      </c>
      <c r="H26" s="11">
        <f t="shared" si="1"/>
        <v>0.19994999999999999</v>
      </c>
    </row>
    <row r="27" spans="2:8" x14ac:dyDescent="0.3">
      <c r="D27" s="15"/>
      <c r="E27" s="16"/>
      <c r="F27" s="17"/>
      <c r="G27" s="18"/>
      <c r="H27" s="11"/>
    </row>
    <row r="28" spans="2:8" x14ac:dyDescent="0.3">
      <c r="D28" s="7" t="s">
        <v>122</v>
      </c>
      <c r="E28" s="8" t="s">
        <v>34</v>
      </c>
      <c r="F28" s="9">
        <v>11.5</v>
      </c>
      <c r="G28" s="10">
        <v>0.8</v>
      </c>
      <c r="H28" s="11">
        <f t="shared" ref="H28" si="2">+G28*F28</f>
        <v>9.2000000000000011</v>
      </c>
    </row>
    <row r="29" spans="2:8" x14ac:dyDescent="0.3">
      <c r="D29" s="15"/>
      <c r="E29" s="16"/>
      <c r="F29" s="17"/>
      <c r="G29" s="18"/>
      <c r="H29" s="11">
        <v>1.44</v>
      </c>
    </row>
    <row r="30" spans="2:8" x14ac:dyDescent="0.3">
      <c r="D30" s="15"/>
      <c r="E30" s="16"/>
      <c r="F30" s="17"/>
      <c r="G30" s="18"/>
      <c r="H30" s="11">
        <v>3.68</v>
      </c>
    </row>
    <row r="31" spans="2:8" x14ac:dyDescent="0.3">
      <c r="D31" s="15"/>
      <c r="E31" s="16"/>
      <c r="F31" s="17"/>
      <c r="G31" s="18"/>
      <c r="H31" s="11"/>
    </row>
    <row r="32" spans="2:8" x14ac:dyDescent="0.3">
      <c r="D32" s="19"/>
      <c r="E32" s="20"/>
      <c r="F32" s="20"/>
      <c r="G32" s="21"/>
      <c r="H32" s="11"/>
    </row>
    <row r="33" spans="4:8" x14ac:dyDescent="0.3">
      <c r="D33" s="19"/>
      <c r="E33" s="20"/>
      <c r="F33" s="20"/>
      <c r="G33" s="21"/>
      <c r="H33" s="11">
        <f t="shared" si="1"/>
        <v>0</v>
      </c>
    </row>
    <row r="34" spans="4:8" x14ac:dyDescent="0.3">
      <c r="D34" s="19"/>
      <c r="E34" s="20"/>
      <c r="F34" s="20"/>
      <c r="G34" s="21"/>
      <c r="H34" s="11">
        <f t="shared" si="1"/>
        <v>0</v>
      </c>
    </row>
    <row r="35" spans="4:8" x14ac:dyDescent="0.3">
      <c r="D35" s="19"/>
      <c r="E35" s="20"/>
      <c r="F35" s="20"/>
      <c r="G35" s="21"/>
      <c r="H35" s="11">
        <f t="shared" si="1"/>
        <v>0</v>
      </c>
    </row>
    <row r="36" spans="4:8" x14ac:dyDescent="0.3">
      <c r="D36" s="19"/>
      <c r="E36" s="20"/>
      <c r="F36" s="20"/>
      <c r="G36" s="21"/>
      <c r="H36" s="11">
        <f t="shared" si="1"/>
        <v>0</v>
      </c>
    </row>
    <row r="37" spans="4:8" x14ac:dyDescent="0.3">
      <c r="D37" s="19"/>
      <c r="E37" s="20"/>
      <c r="F37" s="20"/>
      <c r="G37" s="21"/>
      <c r="H37" s="11">
        <f t="shared" si="1"/>
        <v>0</v>
      </c>
    </row>
    <row r="38" spans="4:8" x14ac:dyDescent="0.3">
      <c r="D38" s="19"/>
      <c r="E38" s="20"/>
      <c r="F38" s="20"/>
      <c r="G38" s="21"/>
      <c r="H38" s="11">
        <f t="shared" si="1"/>
        <v>0</v>
      </c>
    </row>
    <row r="39" spans="4:8" ht="15" thickBot="1" x14ac:dyDescent="0.35">
      <c r="D39" s="22"/>
      <c r="E39" s="23"/>
      <c r="F39" s="23"/>
      <c r="G39" s="24"/>
      <c r="H39" s="25"/>
    </row>
    <row r="40" spans="4:8" ht="15" thickBot="1" x14ac:dyDescent="0.35">
      <c r="D40" s="1"/>
      <c r="E40" s="1"/>
      <c r="F40" s="72" t="s">
        <v>26</v>
      </c>
      <c r="G40" s="73"/>
      <c r="H40" s="26">
        <f>SUM(H24:H39)</f>
        <v>16.13495</v>
      </c>
    </row>
    <row r="41" spans="4:8" ht="15" thickBot="1" x14ac:dyDescent="0.35">
      <c r="D41" s="1"/>
      <c r="E41" s="1"/>
      <c r="F41" s="72" t="s">
        <v>27</v>
      </c>
      <c r="G41" s="73"/>
      <c r="H41" s="26">
        <f>+H40*1.145</f>
        <v>18.47451775</v>
      </c>
    </row>
    <row r="42" spans="4:8" ht="15" thickBot="1" x14ac:dyDescent="0.35">
      <c r="D42" s="1"/>
      <c r="E42" s="1"/>
      <c r="F42" s="72" t="s">
        <v>28</v>
      </c>
      <c r="G42" s="73"/>
      <c r="H42" s="26">
        <v>40</v>
      </c>
    </row>
    <row r="43" spans="4:8" ht="15" thickBot="1" x14ac:dyDescent="0.35">
      <c r="D43" s="1"/>
      <c r="E43" s="1"/>
      <c r="F43" s="72" t="s">
        <v>29</v>
      </c>
      <c r="G43" s="74"/>
      <c r="H43" s="27">
        <f>H41/H42*100</f>
        <v>46.186294375000003</v>
      </c>
    </row>
    <row r="44" spans="4:8" x14ac:dyDescent="0.3">
      <c r="D44" s="1"/>
      <c r="E44" s="1"/>
      <c r="F44" s="1"/>
      <c r="G44" s="28" t="s">
        <v>30</v>
      </c>
      <c r="H44" s="16">
        <f>100-H43</f>
        <v>53.813705624999997</v>
      </c>
    </row>
  </sheetData>
  <mergeCells count="10">
    <mergeCell ref="F40:G40"/>
    <mergeCell ref="F41:G41"/>
    <mergeCell ref="F42:G42"/>
    <mergeCell ref="F43:G43"/>
    <mergeCell ref="B2:F2"/>
    <mergeCell ref="D14:E14"/>
    <mergeCell ref="D15:E15"/>
    <mergeCell ref="D16:E16"/>
    <mergeCell ref="D17:E17"/>
    <mergeCell ref="D22:H22"/>
  </mergeCells>
  <conditionalFormatting sqref="F17">
    <cfRule type="cellIs" dxfId="13" priority="2" operator="lessThan">
      <formula>0.65</formula>
    </cfRule>
  </conditionalFormatting>
  <conditionalFormatting sqref="H43">
    <cfRule type="cellIs" dxfId="12" priority="1" operator="lessThan">
      <formula>0.65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0685A-BB21-418B-B20C-8E40FA2B854B}">
  <dimension ref="B1:BB24"/>
  <sheetViews>
    <sheetView workbookViewId="0">
      <selection activeCell="AZ10" sqref="AZ10"/>
    </sheetView>
  </sheetViews>
  <sheetFormatPr defaultRowHeight="14.4" x14ac:dyDescent="0.3"/>
  <cols>
    <col min="2" max="2" width="15" customWidth="1"/>
    <col min="24" max="24" width="14.88671875" customWidth="1"/>
  </cols>
  <sheetData>
    <row r="1" spans="2:54" ht="15" thickBot="1" x14ac:dyDescent="0.35"/>
    <row r="2" spans="2:54" ht="15" thickBot="1" x14ac:dyDescent="0.35">
      <c r="B2" s="69" t="s">
        <v>87</v>
      </c>
      <c r="C2" s="70"/>
      <c r="D2" s="70"/>
      <c r="E2" s="70"/>
      <c r="F2" s="71"/>
      <c r="G2" s="1"/>
      <c r="I2" s="69" t="s">
        <v>86</v>
      </c>
      <c r="J2" s="70"/>
      <c r="K2" s="70"/>
      <c r="L2" s="70"/>
      <c r="M2" s="71"/>
      <c r="N2" s="1"/>
      <c r="P2" s="69" t="s">
        <v>331</v>
      </c>
      <c r="Q2" s="70"/>
      <c r="R2" s="70"/>
      <c r="S2" s="70"/>
      <c r="T2" s="71"/>
      <c r="U2" s="1"/>
      <c r="X2" s="69" t="s">
        <v>330</v>
      </c>
      <c r="Y2" s="70"/>
      <c r="Z2" s="70"/>
      <c r="AA2" s="70"/>
      <c r="AB2" s="71"/>
      <c r="AC2" s="1"/>
      <c r="AE2" s="69" t="s">
        <v>332</v>
      </c>
      <c r="AF2" s="70"/>
      <c r="AG2" s="70"/>
      <c r="AH2" s="70"/>
      <c r="AI2" s="71"/>
      <c r="AK2" s="69" t="s">
        <v>67</v>
      </c>
      <c r="AL2" s="70"/>
      <c r="AM2" s="70"/>
      <c r="AN2" s="70"/>
      <c r="AO2" s="71"/>
      <c r="AQ2" s="69" t="s">
        <v>336</v>
      </c>
      <c r="AR2" s="70"/>
      <c r="AS2" s="70"/>
      <c r="AT2" s="70"/>
      <c r="AU2" s="71"/>
      <c r="AW2" s="69" t="s">
        <v>88</v>
      </c>
      <c r="AX2" s="70"/>
      <c r="AY2" s="70"/>
      <c r="AZ2" s="70"/>
      <c r="BA2" s="71"/>
      <c r="BB2" s="1"/>
    </row>
    <row r="3" spans="2:54" ht="15" thickBot="1" x14ac:dyDescent="0.35">
      <c r="B3" s="2" t="s">
        <v>3</v>
      </c>
      <c r="C3" s="3" t="s">
        <v>4</v>
      </c>
      <c r="D3" s="3" t="s">
        <v>5</v>
      </c>
      <c r="E3" s="4" t="s">
        <v>6</v>
      </c>
      <c r="F3" s="5" t="s">
        <v>7</v>
      </c>
      <c r="G3" s="1"/>
      <c r="I3" s="2" t="s">
        <v>3</v>
      </c>
      <c r="J3" s="3" t="s">
        <v>4</v>
      </c>
      <c r="K3" s="3" t="s">
        <v>5</v>
      </c>
      <c r="L3" s="4" t="s">
        <v>6</v>
      </c>
      <c r="M3" s="5" t="s">
        <v>7</v>
      </c>
      <c r="N3" s="1"/>
      <c r="P3" s="2" t="s">
        <v>3</v>
      </c>
      <c r="Q3" s="3" t="s">
        <v>4</v>
      </c>
      <c r="R3" s="3" t="s">
        <v>5</v>
      </c>
      <c r="S3" s="4" t="s">
        <v>6</v>
      </c>
      <c r="T3" s="5">
        <v>3</v>
      </c>
      <c r="U3" s="1"/>
      <c r="X3" s="2" t="s">
        <v>3</v>
      </c>
      <c r="Y3" s="3" t="s">
        <v>4</v>
      </c>
      <c r="Z3" s="3" t="s">
        <v>5</v>
      </c>
      <c r="AA3" s="4" t="s">
        <v>6</v>
      </c>
      <c r="AB3" s="5" t="s">
        <v>7</v>
      </c>
      <c r="AC3" s="1"/>
      <c r="AE3" s="2" t="s">
        <v>3</v>
      </c>
      <c r="AF3" s="3" t="s">
        <v>4</v>
      </c>
      <c r="AG3" s="3" t="s">
        <v>5</v>
      </c>
      <c r="AH3" s="4" t="s">
        <v>6</v>
      </c>
      <c r="AI3" s="5" t="s">
        <v>7</v>
      </c>
      <c r="AK3" s="2" t="s">
        <v>3</v>
      </c>
      <c r="AL3" s="3" t="s">
        <v>4</v>
      </c>
      <c r="AM3" s="3" t="s">
        <v>5</v>
      </c>
      <c r="AN3" s="4" t="s">
        <v>6</v>
      </c>
      <c r="AO3" s="5" t="s">
        <v>7</v>
      </c>
      <c r="AQ3" s="2" t="s">
        <v>3</v>
      </c>
      <c r="AR3" s="3" t="s">
        <v>4</v>
      </c>
      <c r="AS3" s="3" t="s">
        <v>5</v>
      </c>
      <c r="AT3" s="4" t="s">
        <v>6</v>
      </c>
      <c r="AU3" s="5" t="s">
        <v>7</v>
      </c>
      <c r="AW3" s="2" t="s">
        <v>3</v>
      </c>
      <c r="AX3" s="3" t="s">
        <v>4</v>
      </c>
      <c r="AY3" s="3" t="s">
        <v>5</v>
      </c>
      <c r="AZ3" s="4" t="s">
        <v>6</v>
      </c>
      <c r="BA3" s="5" t="s">
        <v>7</v>
      </c>
      <c r="BB3" s="1"/>
    </row>
    <row r="4" spans="2:54" x14ac:dyDescent="0.3">
      <c r="B4" s="7" t="s">
        <v>22</v>
      </c>
      <c r="C4" s="8" t="s">
        <v>34</v>
      </c>
      <c r="D4" s="9">
        <v>1.08</v>
      </c>
      <c r="E4" s="10">
        <v>5</v>
      </c>
      <c r="F4" s="11">
        <f t="shared" ref="F4:F18" si="0">+E4*D4</f>
        <v>5.4</v>
      </c>
      <c r="G4" s="1"/>
      <c r="I4" s="7" t="s">
        <v>22</v>
      </c>
      <c r="J4" s="8" t="s">
        <v>34</v>
      </c>
      <c r="K4" s="9">
        <v>1.08</v>
      </c>
      <c r="L4" s="10">
        <v>11.1</v>
      </c>
      <c r="M4" s="11">
        <f t="shared" ref="M4:M18" si="1">+L4*K4</f>
        <v>11.988</v>
      </c>
      <c r="N4" s="1"/>
      <c r="P4" s="7" t="s">
        <v>22</v>
      </c>
      <c r="Q4" s="8" t="s">
        <v>34</v>
      </c>
      <c r="R4" s="9">
        <v>1.08</v>
      </c>
      <c r="S4" s="10">
        <v>2</v>
      </c>
      <c r="T4" s="11">
        <f t="shared" ref="T4:T18" si="2">+S4*R4</f>
        <v>2.16</v>
      </c>
      <c r="U4" s="1"/>
      <c r="X4" s="7" t="s">
        <v>22</v>
      </c>
      <c r="Y4" s="8" t="s">
        <v>34</v>
      </c>
      <c r="Z4" s="9">
        <v>1.08</v>
      </c>
      <c r="AA4" s="10">
        <v>1</v>
      </c>
      <c r="AB4" s="11">
        <f t="shared" ref="AB4:AB18" si="3">+AA4*Z4</f>
        <v>1.08</v>
      </c>
      <c r="AC4" s="1"/>
      <c r="AE4" s="7" t="s">
        <v>22</v>
      </c>
      <c r="AF4" s="8" t="s">
        <v>34</v>
      </c>
      <c r="AG4" s="9">
        <v>1.08</v>
      </c>
      <c r="AH4" s="10">
        <v>1</v>
      </c>
      <c r="AI4" s="11">
        <f t="shared" ref="AI4:AI18" si="4">+AH4*AG4</f>
        <v>1.08</v>
      </c>
      <c r="AK4" s="7" t="s">
        <v>22</v>
      </c>
      <c r="AL4" s="8" t="s">
        <v>34</v>
      </c>
      <c r="AM4" s="9">
        <v>1.08</v>
      </c>
      <c r="AN4" s="10">
        <v>1</v>
      </c>
      <c r="AO4" s="11">
        <f t="shared" ref="AO4:AO18" si="5">+AN4*AM4</f>
        <v>1.08</v>
      </c>
      <c r="AQ4" s="7" t="s">
        <v>22</v>
      </c>
      <c r="AR4" s="8" t="s">
        <v>11</v>
      </c>
      <c r="AS4" s="9">
        <v>1.08</v>
      </c>
      <c r="AT4" s="10">
        <v>1.5</v>
      </c>
      <c r="AU4" s="11">
        <f t="shared" ref="AU4:AU10" si="6">+AT4*AS4</f>
        <v>1.62</v>
      </c>
      <c r="AW4" s="7" t="s">
        <v>22</v>
      </c>
      <c r="AX4" s="8" t="s">
        <v>34</v>
      </c>
      <c r="AY4" s="9">
        <v>1</v>
      </c>
      <c r="AZ4" s="10">
        <v>9</v>
      </c>
      <c r="BA4" s="11">
        <f t="shared" ref="BA4:BA18" si="7">+AZ4*AY4</f>
        <v>9</v>
      </c>
      <c r="BB4" s="1">
        <f>BA4/480</f>
        <v>1.8749999999999999E-2</v>
      </c>
    </row>
    <row r="5" spans="2:54" x14ac:dyDescent="0.3">
      <c r="B5" s="15" t="s">
        <v>24</v>
      </c>
      <c r="C5" s="16"/>
      <c r="D5" s="17">
        <v>1</v>
      </c>
      <c r="E5" s="18">
        <v>0.11</v>
      </c>
      <c r="F5" s="11">
        <f t="shared" si="0"/>
        <v>0.11</v>
      </c>
      <c r="G5" s="1"/>
      <c r="I5" s="15" t="s">
        <v>24</v>
      </c>
      <c r="J5" s="16"/>
      <c r="K5" s="17">
        <v>1</v>
      </c>
      <c r="L5" s="18">
        <v>0.18</v>
      </c>
      <c r="M5" s="11">
        <f t="shared" si="1"/>
        <v>0.18</v>
      </c>
      <c r="N5" s="1"/>
      <c r="P5" s="15" t="s">
        <v>24</v>
      </c>
      <c r="Q5" s="16"/>
      <c r="R5" s="17">
        <v>1</v>
      </c>
      <c r="S5" s="18">
        <v>0.04</v>
      </c>
      <c r="T5" s="11">
        <f t="shared" si="2"/>
        <v>0.04</v>
      </c>
      <c r="U5" s="1"/>
      <c r="X5" s="15" t="s">
        <v>328</v>
      </c>
      <c r="Y5" s="16"/>
      <c r="Z5" s="17">
        <v>1.08</v>
      </c>
      <c r="AA5" s="18">
        <v>0.04</v>
      </c>
      <c r="AB5" s="11">
        <f t="shared" si="3"/>
        <v>4.3200000000000002E-2</v>
      </c>
      <c r="AC5" s="1"/>
      <c r="AE5" s="15" t="s">
        <v>328</v>
      </c>
      <c r="AF5" s="16"/>
      <c r="AG5" s="17">
        <v>1.08</v>
      </c>
      <c r="AH5" s="18">
        <v>0.04</v>
      </c>
      <c r="AI5" s="11">
        <f t="shared" si="4"/>
        <v>4.3200000000000002E-2</v>
      </c>
      <c r="AK5" s="15" t="s">
        <v>311</v>
      </c>
      <c r="AL5" s="16"/>
      <c r="AM5" s="17">
        <v>1.35</v>
      </c>
      <c r="AN5" s="18">
        <v>0.3</v>
      </c>
      <c r="AO5" s="11">
        <f t="shared" si="5"/>
        <v>0.40500000000000003</v>
      </c>
      <c r="AQ5" s="15" t="s">
        <v>33</v>
      </c>
      <c r="AR5" s="16" t="s">
        <v>11</v>
      </c>
      <c r="AS5" s="17">
        <v>1</v>
      </c>
      <c r="AT5" s="18">
        <v>0.24</v>
      </c>
      <c r="AU5" s="11">
        <f t="shared" si="6"/>
        <v>0.24</v>
      </c>
      <c r="AW5" s="15" t="s">
        <v>19</v>
      </c>
      <c r="AX5" s="16"/>
      <c r="AY5" s="17">
        <v>1.4999999999999999E-2</v>
      </c>
      <c r="AZ5" s="18">
        <v>9</v>
      </c>
      <c r="BA5" s="11">
        <f t="shared" si="7"/>
        <v>0.13500000000000001</v>
      </c>
      <c r="BB5" s="1">
        <f t="shared" ref="BB5:BB19" si="8">BA5/480</f>
        <v>2.8125000000000003E-4</v>
      </c>
    </row>
    <row r="6" spans="2:54" x14ac:dyDescent="0.3">
      <c r="B6" s="15" t="s">
        <v>96</v>
      </c>
      <c r="C6" s="16"/>
      <c r="D6" s="17">
        <v>2</v>
      </c>
      <c r="E6" s="18">
        <v>5.0000000000000001E-3</v>
      </c>
      <c r="F6" s="11">
        <f t="shared" si="0"/>
        <v>0.01</v>
      </c>
      <c r="G6" s="1"/>
      <c r="I6" s="15" t="s">
        <v>42</v>
      </c>
      <c r="J6" s="16"/>
      <c r="K6" s="17">
        <v>2</v>
      </c>
      <c r="L6" s="18">
        <v>0.16</v>
      </c>
      <c r="M6" s="11">
        <f t="shared" si="1"/>
        <v>0.32</v>
      </c>
      <c r="N6" s="1"/>
      <c r="P6" s="15" t="s">
        <v>321</v>
      </c>
      <c r="Q6" s="16"/>
      <c r="R6" s="17">
        <v>2</v>
      </c>
      <c r="S6" s="18">
        <v>1.4999999999999999E-2</v>
      </c>
      <c r="T6" s="11">
        <f t="shared" si="2"/>
        <v>0.03</v>
      </c>
      <c r="U6" s="1"/>
      <c r="X6" s="15" t="s">
        <v>329</v>
      </c>
      <c r="Y6" s="16"/>
      <c r="Z6" s="17">
        <v>2</v>
      </c>
      <c r="AA6" s="18">
        <v>1.4999999999999999E-2</v>
      </c>
      <c r="AB6" s="11">
        <f t="shared" si="3"/>
        <v>0.03</v>
      </c>
      <c r="AC6" s="1"/>
      <c r="AE6" s="15" t="s">
        <v>329</v>
      </c>
      <c r="AF6" s="16"/>
      <c r="AG6" s="17">
        <v>2</v>
      </c>
      <c r="AH6" s="18">
        <v>1.4999999999999999E-2</v>
      </c>
      <c r="AI6" s="11">
        <f t="shared" si="4"/>
        <v>0.03</v>
      </c>
      <c r="AK6" s="15" t="s">
        <v>24</v>
      </c>
      <c r="AL6" s="16"/>
      <c r="AM6" s="17">
        <v>1</v>
      </c>
      <c r="AN6" s="18">
        <v>0.02</v>
      </c>
      <c r="AO6" s="11">
        <f t="shared" si="5"/>
        <v>0.02</v>
      </c>
      <c r="AQ6" s="15" t="s">
        <v>19</v>
      </c>
      <c r="AR6" s="16" t="s">
        <v>34</v>
      </c>
      <c r="AS6" s="17">
        <v>0.15</v>
      </c>
      <c r="AT6" s="18">
        <v>15</v>
      </c>
      <c r="AU6" s="11">
        <f t="shared" si="6"/>
        <v>2.25</v>
      </c>
      <c r="AW6" s="15" t="s">
        <v>35</v>
      </c>
      <c r="AX6" s="16"/>
      <c r="AY6" s="17">
        <v>1</v>
      </c>
      <c r="AZ6" s="18">
        <v>1.3049999999999999</v>
      </c>
      <c r="BA6" s="11">
        <f t="shared" si="7"/>
        <v>1.3049999999999999</v>
      </c>
      <c r="BB6" s="1">
        <f t="shared" si="8"/>
        <v>2.7187499999999998E-3</v>
      </c>
    </row>
    <row r="7" spans="2:54" x14ac:dyDescent="0.3">
      <c r="B7" s="15" t="s">
        <v>99</v>
      </c>
      <c r="C7" s="16"/>
      <c r="D7" s="17">
        <v>1.08</v>
      </c>
      <c r="E7" s="18">
        <v>0.75</v>
      </c>
      <c r="F7" s="11">
        <f t="shared" si="0"/>
        <v>0.81</v>
      </c>
      <c r="G7" s="1"/>
      <c r="I7" s="15"/>
      <c r="J7" s="16"/>
      <c r="K7" s="17"/>
      <c r="L7" s="18"/>
      <c r="M7" s="11">
        <f t="shared" si="1"/>
        <v>0</v>
      </c>
      <c r="N7" s="1"/>
      <c r="P7" s="15"/>
      <c r="Q7" s="16"/>
      <c r="R7" s="17"/>
      <c r="S7" s="18"/>
      <c r="T7" s="11">
        <f t="shared" si="2"/>
        <v>0</v>
      </c>
      <c r="U7" s="1"/>
      <c r="X7" s="15" t="s">
        <v>24</v>
      </c>
      <c r="Y7" s="16"/>
      <c r="Z7" s="17">
        <v>1</v>
      </c>
      <c r="AA7" s="18">
        <v>0.04</v>
      </c>
      <c r="AB7" s="11">
        <f t="shared" si="3"/>
        <v>0.04</v>
      </c>
      <c r="AC7" s="1"/>
      <c r="AE7" s="15" t="s">
        <v>24</v>
      </c>
      <c r="AF7" s="16"/>
      <c r="AG7" s="17">
        <v>1</v>
      </c>
      <c r="AH7" s="18">
        <v>0.04</v>
      </c>
      <c r="AI7" s="11">
        <f t="shared" si="4"/>
        <v>0.04</v>
      </c>
      <c r="AK7" s="15" t="s">
        <v>329</v>
      </c>
      <c r="AL7" s="16"/>
      <c r="AM7" s="17">
        <v>2</v>
      </c>
      <c r="AN7" s="18">
        <v>0.02</v>
      </c>
      <c r="AO7" s="11">
        <f t="shared" si="5"/>
        <v>0.04</v>
      </c>
      <c r="AQ7" s="15" t="s">
        <v>37</v>
      </c>
      <c r="AR7" s="16" t="s">
        <v>38</v>
      </c>
      <c r="AS7" s="17">
        <v>1.35</v>
      </c>
      <c r="AT7" s="18">
        <v>0.22500000000000001</v>
      </c>
      <c r="AU7" s="11">
        <f t="shared" si="6"/>
        <v>0.30375000000000002</v>
      </c>
      <c r="AW7" s="15" t="s">
        <v>100</v>
      </c>
      <c r="AX7" s="16"/>
      <c r="AY7" s="17">
        <v>1.92</v>
      </c>
      <c r="AZ7" s="18">
        <v>0.36</v>
      </c>
      <c r="BA7" s="11">
        <f t="shared" si="7"/>
        <v>0.69119999999999993</v>
      </c>
      <c r="BB7" s="1">
        <f t="shared" si="8"/>
        <v>1.4399999999999999E-3</v>
      </c>
    </row>
    <row r="8" spans="2:54" x14ac:dyDescent="0.3">
      <c r="B8" s="15"/>
      <c r="C8" s="16"/>
      <c r="D8" s="17"/>
      <c r="E8" s="18"/>
      <c r="F8" s="11">
        <f t="shared" si="0"/>
        <v>0</v>
      </c>
      <c r="G8" s="1"/>
      <c r="I8" s="15"/>
      <c r="J8" s="16"/>
      <c r="K8" s="17"/>
      <c r="L8" s="18"/>
      <c r="M8" s="11">
        <f t="shared" si="1"/>
        <v>0</v>
      </c>
      <c r="N8" s="1"/>
      <c r="P8" s="15"/>
      <c r="Q8" s="16"/>
      <c r="R8" s="17"/>
      <c r="S8" s="18"/>
      <c r="T8" s="11">
        <f t="shared" si="2"/>
        <v>0</v>
      </c>
      <c r="U8" s="1"/>
      <c r="X8" s="15"/>
      <c r="Y8" s="16"/>
      <c r="Z8" s="17"/>
      <c r="AA8" s="18"/>
      <c r="AB8" s="11">
        <f t="shared" si="3"/>
        <v>0</v>
      </c>
      <c r="AC8" s="1"/>
      <c r="AE8" s="15" t="s">
        <v>333</v>
      </c>
      <c r="AF8" s="16"/>
      <c r="AG8" s="17"/>
      <c r="AH8" s="18"/>
      <c r="AI8" s="11">
        <f t="shared" si="4"/>
        <v>0</v>
      </c>
      <c r="AK8" s="15" t="s">
        <v>98</v>
      </c>
      <c r="AL8" s="16"/>
      <c r="AM8" s="17"/>
      <c r="AN8" s="18">
        <v>7.0000000000000007E-2</v>
      </c>
      <c r="AO8" s="11">
        <f t="shared" si="5"/>
        <v>0</v>
      </c>
      <c r="AQ8" s="15" t="s">
        <v>42</v>
      </c>
      <c r="AR8" s="16" t="s">
        <v>11</v>
      </c>
      <c r="AS8" s="17">
        <v>1.92</v>
      </c>
      <c r="AT8" s="18">
        <v>6.5000000000000002E-2</v>
      </c>
      <c r="AU8" s="11">
        <f t="shared" si="6"/>
        <v>0.12479999999999999</v>
      </c>
      <c r="AW8" s="15" t="s">
        <v>10</v>
      </c>
      <c r="AX8" s="16"/>
      <c r="AY8" s="17">
        <v>8.4700000000000006</v>
      </c>
      <c r="AZ8" s="18">
        <v>0.45</v>
      </c>
      <c r="BA8" s="11">
        <f t="shared" si="7"/>
        <v>3.8115000000000006</v>
      </c>
      <c r="BB8" s="1">
        <f t="shared" si="8"/>
        <v>7.9406250000000015E-3</v>
      </c>
    </row>
    <row r="9" spans="2:54" x14ac:dyDescent="0.3">
      <c r="B9" s="15"/>
      <c r="C9" s="16"/>
      <c r="D9" s="17"/>
      <c r="E9" s="18"/>
      <c r="F9" s="11">
        <f t="shared" si="0"/>
        <v>0</v>
      </c>
      <c r="G9" s="1"/>
      <c r="I9" s="15"/>
      <c r="J9" s="16"/>
      <c r="K9" s="17"/>
      <c r="L9" s="18"/>
      <c r="M9" s="11">
        <f t="shared" si="1"/>
        <v>0</v>
      </c>
      <c r="N9" s="1"/>
      <c r="P9" s="15"/>
      <c r="Q9" s="16"/>
      <c r="R9" s="17"/>
      <c r="S9" s="18"/>
      <c r="T9" s="11">
        <f t="shared" si="2"/>
        <v>0</v>
      </c>
      <c r="U9" s="1"/>
      <c r="X9" s="15"/>
      <c r="Y9" s="16"/>
      <c r="Z9" s="17"/>
      <c r="AA9" s="18"/>
      <c r="AB9" s="11">
        <f t="shared" si="3"/>
        <v>0</v>
      </c>
      <c r="AC9" s="1"/>
      <c r="AE9" s="15" t="s">
        <v>334</v>
      </c>
      <c r="AF9" s="16"/>
      <c r="AG9" s="17"/>
      <c r="AH9" s="18"/>
      <c r="AI9" s="11">
        <f t="shared" si="4"/>
        <v>0</v>
      </c>
      <c r="AK9" s="15"/>
      <c r="AL9" s="16"/>
      <c r="AM9" s="17"/>
      <c r="AN9" s="18"/>
      <c r="AO9" s="11">
        <f t="shared" si="5"/>
        <v>0</v>
      </c>
      <c r="AQ9" s="15" t="s">
        <v>8</v>
      </c>
      <c r="AR9" s="16" t="s">
        <v>11</v>
      </c>
      <c r="AS9" s="17">
        <v>8.6999999999999993</v>
      </c>
      <c r="AT9" s="18">
        <v>0.22500000000000001</v>
      </c>
      <c r="AU9" s="11">
        <f t="shared" si="6"/>
        <v>1.9574999999999998</v>
      </c>
      <c r="AW9" s="15" t="s">
        <v>104</v>
      </c>
      <c r="AX9" s="16"/>
      <c r="AY9" s="17">
        <v>9</v>
      </c>
      <c r="AZ9" s="18">
        <v>0.15</v>
      </c>
      <c r="BA9" s="11">
        <f t="shared" si="7"/>
        <v>1.3499999999999999</v>
      </c>
      <c r="BB9" s="1">
        <f t="shared" si="8"/>
        <v>2.8124999999999999E-3</v>
      </c>
    </row>
    <row r="10" spans="2:54" x14ac:dyDescent="0.3">
      <c r="B10" s="15"/>
      <c r="C10" s="16"/>
      <c r="D10" s="17"/>
      <c r="E10" s="18"/>
      <c r="F10" s="11">
        <f t="shared" si="0"/>
        <v>0</v>
      </c>
      <c r="G10" s="1"/>
      <c r="I10" s="15"/>
      <c r="J10" s="16"/>
      <c r="K10" s="17"/>
      <c r="L10" s="18"/>
      <c r="M10" s="11">
        <f t="shared" si="1"/>
        <v>0</v>
      </c>
      <c r="N10" s="1"/>
      <c r="P10" s="15"/>
      <c r="Q10" s="16"/>
      <c r="R10" s="17"/>
      <c r="S10" s="18"/>
      <c r="T10" s="11">
        <f t="shared" si="2"/>
        <v>0</v>
      </c>
      <c r="U10" s="1"/>
      <c r="X10" s="15"/>
      <c r="Y10" s="16"/>
      <c r="Z10" s="17"/>
      <c r="AA10" s="18"/>
      <c r="AB10" s="11">
        <f t="shared" si="3"/>
        <v>0</v>
      </c>
      <c r="AC10" s="1"/>
      <c r="AE10" s="15" t="s">
        <v>335</v>
      </c>
      <c r="AF10" s="16"/>
      <c r="AG10" s="17"/>
      <c r="AH10" s="18"/>
      <c r="AI10" s="11">
        <f t="shared" si="4"/>
        <v>0</v>
      </c>
      <c r="AK10" s="15"/>
      <c r="AL10" s="16"/>
      <c r="AM10" s="17"/>
      <c r="AN10" s="18"/>
      <c r="AO10" s="11">
        <f t="shared" si="5"/>
        <v>0</v>
      </c>
      <c r="AQ10" s="15" t="s">
        <v>24</v>
      </c>
      <c r="AR10" s="16"/>
      <c r="AS10" s="17">
        <v>1</v>
      </c>
      <c r="AT10" s="18">
        <v>5.0000000000000001E-3</v>
      </c>
      <c r="AU10" s="11">
        <f t="shared" si="6"/>
        <v>5.0000000000000001E-3</v>
      </c>
      <c r="AW10" s="15" t="s">
        <v>24</v>
      </c>
      <c r="AX10" s="16"/>
      <c r="AY10" s="17">
        <v>0.02</v>
      </c>
      <c r="AZ10" s="18">
        <v>0.16200000000000001</v>
      </c>
      <c r="BA10" s="11">
        <f t="shared" si="7"/>
        <v>3.2400000000000003E-3</v>
      </c>
      <c r="BB10" s="1">
        <f t="shared" si="8"/>
        <v>6.7500000000000006E-6</v>
      </c>
    </row>
    <row r="11" spans="2:54" x14ac:dyDescent="0.3">
      <c r="B11" s="15"/>
      <c r="C11" s="16"/>
      <c r="D11" s="17"/>
      <c r="E11" s="18"/>
      <c r="F11" s="11">
        <f t="shared" si="0"/>
        <v>0</v>
      </c>
      <c r="G11" s="1"/>
      <c r="I11" s="15"/>
      <c r="J11" s="16"/>
      <c r="K11" s="17"/>
      <c r="L11" s="18"/>
      <c r="M11" s="11">
        <f t="shared" si="1"/>
        <v>0</v>
      </c>
      <c r="N11" s="1"/>
      <c r="P11" s="15"/>
      <c r="Q11" s="16"/>
      <c r="R11" s="17"/>
      <c r="S11" s="18"/>
      <c r="T11" s="11">
        <f t="shared" si="2"/>
        <v>0</v>
      </c>
      <c r="U11" s="1"/>
      <c r="X11" s="15"/>
      <c r="Y11" s="16"/>
      <c r="Z11" s="17"/>
      <c r="AA11" s="18"/>
      <c r="AB11" s="11">
        <f t="shared" si="3"/>
        <v>0</v>
      </c>
      <c r="AC11" s="1"/>
      <c r="AE11" s="15"/>
      <c r="AF11" s="16"/>
      <c r="AG11" s="17"/>
      <c r="AH11" s="18"/>
      <c r="AI11" s="11">
        <f t="shared" si="4"/>
        <v>0</v>
      </c>
      <c r="AK11" s="15"/>
      <c r="AL11" s="16"/>
      <c r="AM11" s="17"/>
      <c r="AN11" s="18"/>
      <c r="AO11" s="11">
        <f t="shared" si="5"/>
        <v>0</v>
      </c>
      <c r="AQ11" s="15"/>
      <c r="AR11" s="16"/>
      <c r="AS11" s="17"/>
      <c r="AT11" s="18"/>
      <c r="AU11" s="11"/>
      <c r="AW11" s="15" t="s">
        <v>12</v>
      </c>
      <c r="AX11" s="16"/>
      <c r="AY11" s="17">
        <v>1.35</v>
      </c>
      <c r="AZ11" s="18">
        <v>2.25</v>
      </c>
      <c r="BA11" s="11">
        <f t="shared" si="7"/>
        <v>3.0375000000000001</v>
      </c>
      <c r="BB11" s="1">
        <f t="shared" si="8"/>
        <v>6.3281250000000004E-3</v>
      </c>
    </row>
    <row r="12" spans="2:54" x14ac:dyDescent="0.3">
      <c r="B12" s="19"/>
      <c r="C12" s="20"/>
      <c r="D12" s="20"/>
      <c r="E12" s="21"/>
      <c r="F12" s="11">
        <f t="shared" si="0"/>
        <v>0</v>
      </c>
      <c r="G12" s="1"/>
      <c r="I12" s="19"/>
      <c r="J12" s="20"/>
      <c r="K12" s="20"/>
      <c r="L12" s="21"/>
      <c r="M12" s="11">
        <f t="shared" si="1"/>
        <v>0</v>
      </c>
      <c r="N12" s="1"/>
      <c r="P12" s="19"/>
      <c r="Q12" s="20"/>
      <c r="R12" s="20"/>
      <c r="S12" s="21"/>
      <c r="T12" s="11">
        <f t="shared" si="2"/>
        <v>0</v>
      </c>
      <c r="U12" s="1"/>
      <c r="X12" s="19"/>
      <c r="Y12" s="20"/>
      <c r="Z12" s="20"/>
      <c r="AA12" s="21"/>
      <c r="AB12" s="11">
        <f t="shared" si="3"/>
        <v>0</v>
      </c>
      <c r="AC12" s="1"/>
      <c r="AE12" s="19"/>
      <c r="AF12" s="20"/>
      <c r="AG12" s="20"/>
      <c r="AH12" s="21"/>
      <c r="AI12" s="11">
        <f t="shared" si="4"/>
        <v>0</v>
      </c>
      <c r="AK12" s="19"/>
      <c r="AL12" s="20"/>
      <c r="AM12" s="20"/>
      <c r="AN12" s="21"/>
      <c r="AO12" s="11">
        <f t="shared" si="5"/>
        <v>0</v>
      </c>
      <c r="AQ12" s="19"/>
      <c r="AR12" s="20"/>
      <c r="AS12" s="20"/>
      <c r="AT12" s="21"/>
      <c r="AU12" s="11"/>
      <c r="AW12" s="19" t="s">
        <v>10</v>
      </c>
      <c r="AX12" s="20"/>
      <c r="AY12" s="20">
        <v>8.4700000000000006</v>
      </c>
      <c r="AZ12" s="21">
        <v>4</v>
      </c>
      <c r="BA12" s="11">
        <f t="shared" si="7"/>
        <v>33.880000000000003</v>
      </c>
      <c r="BB12" s="1">
        <f t="shared" si="8"/>
        <v>7.0583333333333345E-2</v>
      </c>
    </row>
    <row r="13" spans="2:54" x14ac:dyDescent="0.3">
      <c r="B13" s="19"/>
      <c r="C13" s="20"/>
      <c r="D13" s="20"/>
      <c r="E13" s="21"/>
      <c r="F13" s="11">
        <f t="shared" si="0"/>
        <v>0</v>
      </c>
      <c r="G13" s="1"/>
      <c r="I13" s="19"/>
      <c r="J13" s="20"/>
      <c r="K13" s="20"/>
      <c r="L13" s="21"/>
      <c r="M13" s="11">
        <f t="shared" si="1"/>
        <v>0</v>
      </c>
      <c r="N13" s="1"/>
      <c r="P13" s="19"/>
      <c r="Q13" s="20"/>
      <c r="R13" s="20"/>
      <c r="S13" s="21"/>
      <c r="T13" s="11">
        <f t="shared" si="2"/>
        <v>0</v>
      </c>
      <c r="U13" s="1"/>
      <c r="X13" s="19"/>
      <c r="Y13" s="20"/>
      <c r="Z13" s="20"/>
      <c r="AA13" s="21"/>
      <c r="AB13" s="11">
        <f t="shared" si="3"/>
        <v>0</v>
      </c>
      <c r="AC13" s="1"/>
      <c r="AE13" s="19"/>
      <c r="AF13" s="20"/>
      <c r="AG13" s="20"/>
      <c r="AH13" s="21"/>
      <c r="AI13" s="11">
        <f t="shared" si="4"/>
        <v>0</v>
      </c>
      <c r="AK13" s="19"/>
      <c r="AL13" s="20"/>
      <c r="AM13" s="20"/>
      <c r="AN13" s="21"/>
      <c r="AO13" s="11">
        <f t="shared" si="5"/>
        <v>0</v>
      </c>
      <c r="AQ13" s="19"/>
      <c r="AR13" s="20"/>
      <c r="AS13" s="20"/>
      <c r="AT13" s="21"/>
      <c r="AU13" s="11"/>
      <c r="AW13" s="19"/>
      <c r="AX13" s="20"/>
      <c r="AY13" s="20"/>
      <c r="AZ13" s="21"/>
      <c r="BA13" s="11">
        <f t="shared" si="7"/>
        <v>0</v>
      </c>
      <c r="BB13" s="1">
        <f t="shared" si="8"/>
        <v>0</v>
      </c>
    </row>
    <row r="14" spans="2:54" x14ac:dyDescent="0.3">
      <c r="B14" s="19"/>
      <c r="C14" s="20"/>
      <c r="D14" s="20"/>
      <c r="E14" s="21"/>
      <c r="F14" s="11">
        <f t="shared" si="0"/>
        <v>0</v>
      </c>
      <c r="G14" s="1"/>
      <c r="I14" s="19"/>
      <c r="J14" s="20"/>
      <c r="K14" s="20"/>
      <c r="L14" s="21"/>
      <c r="M14" s="11">
        <f t="shared" si="1"/>
        <v>0</v>
      </c>
      <c r="N14" s="1"/>
      <c r="P14" s="19"/>
      <c r="Q14" s="20"/>
      <c r="R14" s="20"/>
      <c r="S14" s="21"/>
      <c r="T14" s="11">
        <f t="shared" si="2"/>
        <v>0</v>
      </c>
      <c r="U14" s="1"/>
      <c r="X14" s="19"/>
      <c r="Y14" s="20"/>
      <c r="Z14" s="20"/>
      <c r="AA14" s="21"/>
      <c r="AB14" s="11">
        <f t="shared" si="3"/>
        <v>0</v>
      </c>
      <c r="AC14" s="1"/>
      <c r="AE14" s="19"/>
      <c r="AF14" s="20"/>
      <c r="AG14" s="20"/>
      <c r="AH14" s="21"/>
      <c r="AI14" s="11">
        <f t="shared" si="4"/>
        <v>0</v>
      </c>
      <c r="AK14" s="19"/>
      <c r="AL14" s="20"/>
      <c r="AM14" s="20"/>
      <c r="AN14" s="21"/>
      <c r="AO14" s="11">
        <f t="shared" si="5"/>
        <v>0</v>
      </c>
      <c r="AQ14" s="19"/>
      <c r="AR14" s="20"/>
      <c r="AS14" s="20"/>
      <c r="AT14" s="21"/>
      <c r="AU14" s="11"/>
      <c r="AW14" s="19"/>
      <c r="AX14" s="20"/>
      <c r="AY14" s="20"/>
      <c r="AZ14" s="21"/>
      <c r="BA14" s="11">
        <f t="shared" si="7"/>
        <v>0</v>
      </c>
      <c r="BB14" s="1">
        <f t="shared" si="8"/>
        <v>0</v>
      </c>
    </row>
    <row r="15" spans="2:54" x14ac:dyDescent="0.3">
      <c r="B15" s="19"/>
      <c r="C15" s="20"/>
      <c r="D15" s="20"/>
      <c r="E15" s="21"/>
      <c r="F15" s="11">
        <f t="shared" si="0"/>
        <v>0</v>
      </c>
      <c r="G15" s="1"/>
      <c r="I15" s="19"/>
      <c r="J15" s="20"/>
      <c r="K15" s="20"/>
      <c r="L15" s="21"/>
      <c r="M15" s="11">
        <f t="shared" si="1"/>
        <v>0</v>
      </c>
      <c r="N15" s="1"/>
      <c r="P15" s="19"/>
      <c r="Q15" s="20"/>
      <c r="R15" s="20"/>
      <c r="S15" s="21"/>
      <c r="T15" s="11">
        <f t="shared" si="2"/>
        <v>0</v>
      </c>
      <c r="U15" s="1"/>
      <c r="X15" s="19"/>
      <c r="Y15" s="20"/>
      <c r="Z15" s="20"/>
      <c r="AA15" s="21"/>
      <c r="AB15" s="11">
        <f t="shared" si="3"/>
        <v>0</v>
      </c>
      <c r="AC15" s="1"/>
      <c r="AE15" s="19"/>
      <c r="AF15" s="20"/>
      <c r="AG15" s="20"/>
      <c r="AH15" s="21"/>
      <c r="AI15" s="11">
        <f t="shared" si="4"/>
        <v>0</v>
      </c>
      <c r="AK15" s="19"/>
      <c r="AL15" s="20"/>
      <c r="AM15" s="20"/>
      <c r="AN15" s="21"/>
      <c r="AO15" s="11">
        <f t="shared" si="5"/>
        <v>0</v>
      </c>
      <c r="AQ15" s="19"/>
      <c r="AR15" s="20"/>
      <c r="AS15" s="20"/>
      <c r="AT15" s="21"/>
      <c r="AU15" s="11"/>
      <c r="AW15" s="19"/>
      <c r="AX15" s="20"/>
      <c r="AY15" s="20"/>
      <c r="AZ15" s="21"/>
      <c r="BA15" s="11">
        <f t="shared" si="7"/>
        <v>0</v>
      </c>
      <c r="BB15" s="1">
        <f t="shared" si="8"/>
        <v>0</v>
      </c>
    </row>
    <row r="16" spans="2:54" x14ac:dyDescent="0.3">
      <c r="B16" s="19"/>
      <c r="C16" s="20"/>
      <c r="D16" s="20"/>
      <c r="E16" s="21"/>
      <c r="F16" s="11">
        <f t="shared" si="0"/>
        <v>0</v>
      </c>
      <c r="G16" s="1"/>
      <c r="I16" s="19"/>
      <c r="J16" s="20"/>
      <c r="K16" s="20"/>
      <c r="L16" s="21"/>
      <c r="M16" s="11">
        <f t="shared" si="1"/>
        <v>0</v>
      </c>
      <c r="N16" s="1"/>
      <c r="P16" s="19"/>
      <c r="Q16" s="20"/>
      <c r="R16" s="20"/>
      <c r="S16" s="21"/>
      <c r="T16" s="11">
        <f t="shared" si="2"/>
        <v>0</v>
      </c>
      <c r="U16" s="1"/>
      <c r="X16" s="19"/>
      <c r="Y16" s="20"/>
      <c r="Z16" s="20"/>
      <c r="AA16" s="21"/>
      <c r="AB16" s="11">
        <f t="shared" si="3"/>
        <v>0</v>
      </c>
      <c r="AC16" s="1"/>
      <c r="AE16" s="19"/>
      <c r="AF16" s="20"/>
      <c r="AG16" s="20"/>
      <c r="AH16" s="21"/>
      <c r="AI16" s="11">
        <f t="shared" si="4"/>
        <v>0</v>
      </c>
      <c r="AK16" s="19"/>
      <c r="AL16" s="20"/>
      <c r="AM16" s="20"/>
      <c r="AN16" s="21"/>
      <c r="AO16" s="11">
        <f t="shared" si="5"/>
        <v>0</v>
      </c>
      <c r="AQ16" s="19"/>
      <c r="AR16" s="20"/>
      <c r="AS16" s="20"/>
      <c r="AT16" s="21"/>
      <c r="AU16" s="11"/>
      <c r="AW16" s="19"/>
      <c r="AX16" s="20"/>
      <c r="AY16" s="20"/>
      <c r="AZ16" s="21"/>
      <c r="BA16" s="11">
        <f t="shared" si="7"/>
        <v>0</v>
      </c>
      <c r="BB16" s="1">
        <f t="shared" si="8"/>
        <v>0</v>
      </c>
    </row>
    <row r="17" spans="2:54" x14ac:dyDescent="0.3">
      <c r="B17" s="19"/>
      <c r="C17" s="20"/>
      <c r="D17" s="20"/>
      <c r="E17" s="21"/>
      <c r="F17" s="11">
        <f t="shared" si="0"/>
        <v>0</v>
      </c>
      <c r="G17" s="1"/>
      <c r="I17" s="19"/>
      <c r="J17" s="20"/>
      <c r="K17" s="20"/>
      <c r="L17" s="21"/>
      <c r="M17" s="11">
        <f t="shared" si="1"/>
        <v>0</v>
      </c>
      <c r="N17" s="1"/>
      <c r="P17" s="19"/>
      <c r="Q17" s="20"/>
      <c r="R17" s="20"/>
      <c r="S17" s="21"/>
      <c r="T17" s="11">
        <f t="shared" si="2"/>
        <v>0</v>
      </c>
      <c r="U17" s="1"/>
      <c r="X17" s="19"/>
      <c r="Y17" s="20"/>
      <c r="Z17" s="20"/>
      <c r="AA17" s="21"/>
      <c r="AB17" s="11">
        <f t="shared" si="3"/>
        <v>0</v>
      </c>
      <c r="AC17" s="1"/>
      <c r="AE17" s="19"/>
      <c r="AF17" s="20"/>
      <c r="AG17" s="20"/>
      <c r="AH17" s="21"/>
      <c r="AI17" s="11">
        <f t="shared" si="4"/>
        <v>0</v>
      </c>
      <c r="AK17" s="19"/>
      <c r="AL17" s="20"/>
      <c r="AM17" s="20"/>
      <c r="AN17" s="21"/>
      <c r="AO17" s="11">
        <f t="shared" si="5"/>
        <v>0</v>
      </c>
      <c r="AQ17" s="19"/>
      <c r="AR17" s="20"/>
      <c r="AS17" s="20"/>
      <c r="AT17" s="21"/>
      <c r="AU17" s="11"/>
      <c r="AW17" s="19"/>
      <c r="AX17" s="20"/>
      <c r="AY17" s="20"/>
      <c r="AZ17" s="21"/>
      <c r="BA17" s="11">
        <f t="shared" si="7"/>
        <v>0</v>
      </c>
      <c r="BB17" s="1">
        <f t="shared" si="8"/>
        <v>0</v>
      </c>
    </row>
    <row r="18" spans="2:54" x14ac:dyDescent="0.3">
      <c r="B18" s="19"/>
      <c r="C18" s="20"/>
      <c r="D18" s="20"/>
      <c r="E18" s="21"/>
      <c r="F18" s="11">
        <f t="shared" si="0"/>
        <v>0</v>
      </c>
      <c r="G18" s="1"/>
      <c r="I18" s="19"/>
      <c r="J18" s="20"/>
      <c r="K18" s="20"/>
      <c r="L18" s="21"/>
      <c r="M18" s="11">
        <f t="shared" si="1"/>
        <v>0</v>
      </c>
      <c r="N18" s="1"/>
      <c r="P18" s="19"/>
      <c r="Q18" s="20"/>
      <c r="R18" s="20"/>
      <c r="S18" s="21"/>
      <c r="T18" s="11">
        <f t="shared" si="2"/>
        <v>0</v>
      </c>
      <c r="U18" s="1"/>
      <c r="X18" s="19"/>
      <c r="Y18" s="20"/>
      <c r="Z18" s="20"/>
      <c r="AA18" s="21"/>
      <c r="AB18" s="11">
        <f t="shared" si="3"/>
        <v>0</v>
      </c>
      <c r="AC18" s="1"/>
      <c r="AE18" s="19"/>
      <c r="AF18" s="20"/>
      <c r="AG18" s="20"/>
      <c r="AH18" s="21"/>
      <c r="AI18" s="11">
        <f t="shared" si="4"/>
        <v>0</v>
      </c>
      <c r="AK18" s="19"/>
      <c r="AL18" s="20"/>
      <c r="AM18" s="20"/>
      <c r="AN18" s="21"/>
      <c r="AO18" s="11">
        <f t="shared" si="5"/>
        <v>0</v>
      </c>
      <c r="AQ18" s="19"/>
      <c r="AR18" s="20"/>
      <c r="AS18" s="20"/>
      <c r="AT18" s="21"/>
      <c r="AU18" s="11"/>
      <c r="AW18" s="19"/>
      <c r="AX18" s="20"/>
      <c r="AY18" s="20"/>
      <c r="AZ18" s="21"/>
      <c r="BA18" s="11">
        <f t="shared" si="7"/>
        <v>0</v>
      </c>
      <c r="BB18" s="1">
        <f t="shared" si="8"/>
        <v>0</v>
      </c>
    </row>
    <row r="19" spans="2:54" ht="15" thickBot="1" x14ac:dyDescent="0.35">
      <c r="B19" s="22"/>
      <c r="C19" s="23"/>
      <c r="D19" s="23"/>
      <c r="E19" s="24"/>
      <c r="F19" s="25"/>
      <c r="G19" s="1"/>
      <c r="I19" s="22"/>
      <c r="J19" s="23"/>
      <c r="K19" s="23"/>
      <c r="L19" s="24"/>
      <c r="M19" s="25"/>
      <c r="N19" s="1"/>
      <c r="P19" s="22"/>
      <c r="Q19" s="23"/>
      <c r="R19" s="23"/>
      <c r="S19" s="24"/>
      <c r="T19" s="25"/>
      <c r="U19" s="1"/>
      <c r="X19" s="22"/>
      <c r="Y19" s="23"/>
      <c r="Z19" s="23"/>
      <c r="AA19" s="24"/>
      <c r="AB19" s="25"/>
      <c r="AC19" s="1"/>
      <c r="AE19" s="22"/>
      <c r="AF19" s="23"/>
      <c r="AG19" s="23"/>
      <c r="AH19" s="24"/>
      <c r="AI19" s="25"/>
      <c r="AK19" s="22"/>
      <c r="AL19" s="23"/>
      <c r="AM19" s="23"/>
      <c r="AN19" s="24"/>
      <c r="AO19" s="25"/>
      <c r="AQ19" s="22"/>
      <c r="AR19" s="23"/>
      <c r="AS19" s="23"/>
      <c r="AT19" s="24"/>
      <c r="AU19" s="25"/>
      <c r="AW19" s="22"/>
      <c r="AX19" s="23"/>
      <c r="AY19" s="23"/>
      <c r="AZ19" s="24"/>
      <c r="BA19" s="25"/>
      <c r="BB19" s="1">
        <f t="shared" si="8"/>
        <v>0</v>
      </c>
    </row>
    <row r="20" spans="2:54" ht="15" thickBot="1" x14ac:dyDescent="0.35">
      <c r="B20" s="1"/>
      <c r="C20" s="1"/>
      <c r="D20" s="72" t="s">
        <v>26</v>
      </c>
      <c r="E20" s="73"/>
      <c r="F20" s="26">
        <f>SUM(F4:F19)</f>
        <v>6.33</v>
      </c>
      <c r="G20" s="1"/>
      <c r="I20" s="1"/>
      <c r="J20" s="1"/>
      <c r="K20" s="72" t="s">
        <v>26</v>
      </c>
      <c r="L20" s="73"/>
      <c r="M20" s="26">
        <f>SUM(M4:M19)</f>
        <v>12.488</v>
      </c>
      <c r="N20" s="1">
        <f>M20/93</f>
        <v>0.13427956989247311</v>
      </c>
      <c r="P20" s="1"/>
      <c r="Q20" s="1"/>
      <c r="R20" s="72" t="s">
        <v>26</v>
      </c>
      <c r="S20" s="73"/>
      <c r="T20" s="26">
        <f>SUM(T4:T19)</f>
        <v>2.23</v>
      </c>
      <c r="U20" s="1"/>
      <c r="X20" s="1"/>
      <c r="Y20" s="1"/>
      <c r="Z20" s="72" t="s">
        <v>26</v>
      </c>
      <c r="AA20" s="73"/>
      <c r="AB20" s="26">
        <f>SUM(AB4:AB19)</f>
        <v>1.1932</v>
      </c>
      <c r="AC20" s="1"/>
      <c r="AE20" s="1"/>
      <c r="AF20" s="1"/>
      <c r="AG20" s="72" t="s">
        <v>26</v>
      </c>
      <c r="AH20" s="73"/>
      <c r="AI20" s="26">
        <f>SUM(AI4:AI19)</f>
        <v>1.1932</v>
      </c>
      <c r="AK20" s="1"/>
      <c r="AL20" s="1"/>
      <c r="AM20" s="72" t="s">
        <v>26</v>
      </c>
      <c r="AN20" s="73"/>
      <c r="AO20" s="26">
        <f>SUM(AO4:AO19)</f>
        <v>1.5450000000000002</v>
      </c>
      <c r="AQ20" s="1"/>
      <c r="AR20" s="1"/>
      <c r="AS20" s="72" t="s">
        <v>26</v>
      </c>
      <c r="AT20" s="73"/>
      <c r="AU20" s="26">
        <f>SUM(AU4:AU19)</f>
        <v>6.5010499999999993</v>
      </c>
      <c r="AW20" s="1"/>
      <c r="AX20" s="1"/>
      <c r="AY20" s="72" t="s">
        <v>26</v>
      </c>
      <c r="AZ20" s="73"/>
      <c r="BA20" s="26">
        <f>SUM(BA4:BA19)</f>
        <v>53.213440000000006</v>
      </c>
      <c r="BB20" s="26">
        <f>SUM(BB4:BB19)</f>
        <v>0.11086133333333335</v>
      </c>
    </row>
    <row r="21" spans="2:54" ht="15" thickBot="1" x14ac:dyDescent="0.35">
      <c r="B21" s="1"/>
      <c r="C21" s="1"/>
      <c r="D21" s="72" t="s">
        <v>27</v>
      </c>
      <c r="E21" s="73"/>
      <c r="F21" s="26">
        <f>+F20*1.145</f>
        <v>7.2478500000000006</v>
      </c>
      <c r="G21" s="26"/>
      <c r="I21" s="1"/>
      <c r="J21" s="1"/>
      <c r="K21" s="72" t="s">
        <v>27</v>
      </c>
      <c r="L21" s="73"/>
      <c r="M21" s="26">
        <f>+M20*1.145</f>
        <v>14.29876</v>
      </c>
      <c r="N21" s="1">
        <f>M21/93</f>
        <v>0.15375010752688173</v>
      </c>
      <c r="P21" s="1"/>
      <c r="Q21" s="1"/>
      <c r="R21" s="72" t="s">
        <v>27</v>
      </c>
      <c r="S21" s="73"/>
      <c r="T21" s="26">
        <f>+T20*1.145</f>
        <v>2.55335</v>
      </c>
      <c r="U21" s="26"/>
      <c r="X21" s="1"/>
      <c r="Y21" s="1"/>
      <c r="Z21" s="72" t="s">
        <v>27</v>
      </c>
      <c r="AA21" s="73"/>
      <c r="AB21" s="26">
        <f>+AB20*1.145</f>
        <v>1.366214</v>
      </c>
      <c r="AC21" s="26"/>
      <c r="AE21" s="1"/>
      <c r="AF21" s="1"/>
      <c r="AG21" s="72" t="s">
        <v>27</v>
      </c>
      <c r="AH21" s="73"/>
      <c r="AI21" s="26">
        <f>+AI20*1.145</f>
        <v>1.366214</v>
      </c>
      <c r="AK21" s="1"/>
      <c r="AL21" s="1"/>
      <c r="AM21" s="72" t="s">
        <v>27</v>
      </c>
      <c r="AN21" s="73"/>
      <c r="AO21" s="26">
        <f>+AO20*1.145</f>
        <v>1.7690250000000003</v>
      </c>
      <c r="AQ21" s="1"/>
      <c r="AR21" s="1"/>
      <c r="AS21" s="72" t="s">
        <v>27</v>
      </c>
      <c r="AT21" s="73"/>
      <c r="AU21" s="26">
        <f>+AU20*1.145</f>
        <v>7.4437022499999994</v>
      </c>
      <c r="AW21" s="1"/>
      <c r="AX21" s="1"/>
      <c r="AY21" s="72" t="s">
        <v>27</v>
      </c>
      <c r="AZ21" s="73"/>
      <c r="BA21" s="26">
        <f>+BA20*1.145</f>
        <v>60.929388800000005</v>
      </c>
      <c r="BB21" s="26">
        <f>+BB20*1.145</f>
        <v>0.12693622666666668</v>
      </c>
    </row>
    <row r="22" spans="2:54" ht="15" thickBot="1" x14ac:dyDescent="0.35">
      <c r="B22" s="1"/>
      <c r="C22" s="1"/>
      <c r="D22" s="72" t="s">
        <v>28</v>
      </c>
      <c r="E22" s="73"/>
      <c r="F22" s="26">
        <v>33.6</v>
      </c>
      <c r="G22" s="26"/>
      <c r="I22" s="1"/>
      <c r="J22" s="1"/>
      <c r="K22" s="72" t="s">
        <v>28</v>
      </c>
      <c r="L22" s="73"/>
      <c r="M22" s="26">
        <v>112.5</v>
      </c>
      <c r="N22" s="1">
        <v>0.6</v>
      </c>
      <c r="P22" s="1"/>
      <c r="Q22" s="1"/>
      <c r="R22" s="72" t="s">
        <v>28</v>
      </c>
      <c r="S22" s="73"/>
      <c r="T22" s="26">
        <v>33.6</v>
      </c>
      <c r="U22" s="26"/>
      <c r="X22" s="1"/>
      <c r="Y22" s="1"/>
      <c r="Z22" s="72" t="s">
        <v>28</v>
      </c>
      <c r="AA22" s="73"/>
      <c r="AB22" s="26">
        <v>33.6</v>
      </c>
      <c r="AC22" s="26"/>
      <c r="AE22" s="1"/>
      <c r="AF22" s="1"/>
      <c r="AG22" s="72" t="s">
        <v>28</v>
      </c>
      <c r="AH22" s="73"/>
      <c r="AI22" s="26">
        <v>33.6</v>
      </c>
      <c r="AK22" s="1"/>
      <c r="AL22" s="1"/>
      <c r="AM22" s="72" t="s">
        <v>28</v>
      </c>
      <c r="AN22" s="73"/>
      <c r="AO22" s="26">
        <v>33.6</v>
      </c>
      <c r="AQ22" s="1"/>
      <c r="AR22" s="1"/>
      <c r="AS22" s="72" t="s">
        <v>28</v>
      </c>
      <c r="AT22" s="73"/>
      <c r="AU22" s="26">
        <v>20.7</v>
      </c>
      <c r="AW22" s="1"/>
      <c r="AX22" s="1"/>
      <c r="AY22" s="72" t="s">
        <v>28</v>
      </c>
      <c r="AZ22" s="73"/>
      <c r="BA22" s="26">
        <v>394</v>
      </c>
      <c r="BB22" s="26">
        <v>0.8</v>
      </c>
    </row>
    <row r="23" spans="2:54" ht="15" thickBot="1" x14ac:dyDescent="0.35">
      <c r="B23" s="1"/>
      <c r="C23" s="1"/>
      <c r="D23" s="72" t="s">
        <v>29</v>
      </c>
      <c r="E23" s="74"/>
      <c r="F23" s="27">
        <f>F21/F22*100</f>
        <v>21.570982142857144</v>
      </c>
      <c r="G23" s="27"/>
      <c r="I23" s="1"/>
      <c r="J23" s="1"/>
      <c r="K23" s="72" t="s">
        <v>29</v>
      </c>
      <c r="L23" s="74"/>
      <c r="M23" s="27">
        <f>M21/M22*100</f>
        <v>12.710008888888888</v>
      </c>
      <c r="N23" s="27">
        <f>N21/N22*100</f>
        <v>25.625017921146959</v>
      </c>
      <c r="P23" s="1"/>
      <c r="Q23" s="1"/>
      <c r="R23" s="72" t="s">
        <v>29</v>
      </c>
      <c r="S23" s="74"/>
      <c r="T23" s="27">
        <f>T21/T22*100</f>
        <v>7.5992559523809522</v>
      </c>
      <c r="U23" s="27"/>
      <c r="X23" s="1"/>
      <c r="Y23" s="1"/>
      <c r="Z23" s="72" t="s">
        <v>29</v>
      </c>
      <c r="AA23" s="74"/>
      <c r="AB23" s="27">
        <f>AB21/AB22*100</f>
        <v>4.0661130952380953</v>
      </c>
      <c r="AC23" s="27"/>
      <c r="AE23" s="1"/>
      <c r="AF23" s="1"/>
      <c r="AG23" s="72" t="s">
        <v>29</v>
      </c>
      <c r="AH23" s="74"/>
      <c r="AI23" s="27">
        <f>AI21/AI22*100</f>
        <v>4.0661130952380953</v>
      </c>
      <c r="AK23" s="1"/>
      <c r="AL23" s="1"/>
      <c r="AM23" s="72" t="s">
        <v>29</v>
      </c>
      <c r="AN23" s="74"/>
      <c r="AO23" s="27">
        <f>AO21/AO22*100</f>
        <v>5.264955357142858</v>
      </c>
      <c r="AQ23" s="1"/>
      <c r="AR23" s="1"/>
      <c r="AS23" s="72" t="s">
        <v>29</v>
      </c>
      <c r="AT23" s="74"/>
      <c r="AU23" s="27">
        <f>AU21/AU22*100</f>
        <v>35.959914251207728</v>
      </c>
      <c r="AW23" s="1"/>
      <c r="AX23" s="1"/>
      <c r="AY23" s="72" t="s">
        <v>29</v>
      </c>
      <c r="AZ23" s="74"/>
      <c r="BA23" s="27">
        <f>BA21/BA22*100</f>
        <v>15.464311878172591</v>
      </c>
      <c r="BB23" s="27">
        <f>BB21/BB22*100</f>
        <v>15.867028333333334</v>
      </c>
    </row>
    <row r="24" spans="2:54" x14ac:dyDescent="0.3">
      <c r="B24" s="1"/>
      <c r="C24" s="1"/>
      <c r="D24" s="1"/>
      <c r="E24" s="28" t="s">
        <v>30</v>
      </c>
      <c r="F24" s="16">
        <f>100-F23</f>
        <v>78.429017857142853</v>
      </c>
      <c r="G24" s="16"/>
      <c r="I24" s="1"/>
      <c r="J24" s="1"/>
      <c r="K24" s="1"/>
      <c r="L24" s="28" t="s">
        <v>30</v>
      </c>
      <c r="M24" s="16">
        <f>100-M23</f>
        <v>87.289991111111107</v>
      </c>
      <c r="N24" s="16">
        <f>100-N23</f>
        <v>74.374982078853037</v>
      </c>
      <c r="P24" s="1"/>
      <c r="Q24" s="1"/>
      <c r="R24" s="1"/>
      <c r="S24" s="28" t="s">
        <v>30</v>
      </c>
      <c r="T24" s="16">
        <f>100-T23</f>
        <v>92.400744047619042</v>
      </c>
      <c r="U24" s="16"/>
      <c r="X24" s="1"/>
      <c r="Y24" s="1"/>
      <c r="Z24" s="1"/>
      <c r="AA24" s="28" t="s">
        <v>30</v>
      </c>
      <c r="AB24" s="16">
        <f>100-AB23</f>
        <v>95.933886904761906</v>
      </c>
      <c r="AC24" s="16"/>
      <c r="AE24" s="1"/>
      <c r="AF24" s="1"/>
      <c r="AG24" s="1"/>
      <c r="AH24" s="28" t="s">
        <v>30</v>
      </c>
      <c r="AI24" s="16">
        <f>100-AI23</f>
        <v>95.933886904761906</v>
      </c>
      <c r="AK24" s="1"/>
      <c r="AL24" s="1"/>
      <c r="AM24" s="1"/>
      <c r="AN24" s="28" t="s">
        <v>30</v>
      </c>
      <c r="AO24" s="16">
        <f>100-AO23</f>
        <v>94.735044642857147</v>
      </c>
      <c r="AQ24" s="1"/>
      <c r="AR24" s="1"/>
      <c r="AS24" s="1"/>
      <c r="AT24" s="28" t="s">
        <v>30</v>
      </c>
      <c r="AU24" s="16">
        <f>100-AU23</f>
        <v>64.040085748792279</v>
      </c>
      <c r="AW24" s="1"/>
      <c r="AX24" s="1"/>
      <c r="AY24" s="1"/>
      <c r="AZ24" s="28" t="s">
        <v>30</v>
      </c>
      <c r="BA24" s="16">
        <f>100-BA23</f>
        <v>84.535688121827405</v>
      </c>
      <c r="BB24" s="16">
        <f>100-BB23</f>
        <v>84.132971666666663</v>
      </c>
    </row>
  </sheetData>
  <mergeCells count="40">
    <mergeCell ref="I2:M2"/>
    <mergeCell ref="K20:L20"/>
    <mergeCell ref="K21:L21"/>
    <mergeCell ref="K22:L22"/>
    <mergeCell ref="K23:L23"/>
    <mergeCell ref="B2:F2"/>
    <mergeCell ref="D20:E20"/>
    <mergeCell ref="D21:E21"/>
    <mergeCell ref="D22:E22"/>
    <mergeCell ref="D23:E23"/>
    <mergeCell ref="X2:AB2"/>
    <mergeCell ref="Z20:AA20"/>
    <mergeCell ref="Z21:AA21"/>
    <mergeCell ref="Z22:AA22"/>
    <mergeCell ref="Z23:AA23"/>
    <mergeCell ref="P2:T2"/>
    <mergeCell ref="R20:S20"/>
    <mergeCell ref="R21:S21"/>
    <mergeCell ref="R22:S22"/>
    <mergeCell ref="R23:S23"/>
    <mergeCell ref="AK2:AO2"/>
    <mergeCell ref="AM20:AN20"/>
    <mergeCell ref="AM21:AN21"/>
    <mergeCell ref="AM22:AN22"/>
    <mergeCell ref="AM23:AN23"/>
    <mergeCell ref="AE2:AI2"/>
    <mergeCell ref="AG20:AH20"/>
    <mergeCell ref="AG21:AH21"/>
    <mergeCell ref="AG22:AH22"/>
    <mergeCell ref="AG23:AH23"/>
    <mergeCell ref="AW2:BA2"/>
    <mergeCell ref="AY20:AZ20"/>
    <mergeCell ref="AY21:AZ21"/>
    <mergeCell ref="AY22:AZ22"/>
    <mergeCell ref="AY23:AZ23"/>
    <mergeCell ref="AQ2:AU2"/>
    <mergeCell ref="AS20:AT20"/>
    <mergeCell ref="AS21:AT21"/>
    <mergeCell ref="AS22:AT22"/>
    <mergeCell ref="AS23:AT23"/>
  </mergeCells>
  <conditionalFormatting sqref="F23:G23">
    <cfRule type="cellIs" dxfId="11" priority="8" operator="lessThan">
      <formula>0.65</formula>
    </cfRule>
  </conditionalFormatting>
  <conditionalFormatting sqref="M23:N23">
    <cfRule type="cellIs" dxfId="10" priority="7" operator="lessThan">
      <formula>0.65</formula>
    </cfRule>
  </conditionalFormatting>
  <conditionalFormatting sqref="T23:U23">
    <cfRule type="cellIs" dxfId="9" priority="6" operator="lessThan">
      <formula>0.65</formula>
    </cfRule>
  </conditionalFormatting>
  <conditionalFormatting sqref="AB23:AC23">
    <cfRule type="cellIs" dxfId="8" priority="5" operator="lessThan">
      <formula>0.65</formula>
    </cfRule>
  </conditionalFormatting>
  <conditionalFormatting sqref="AI23">
    <cfRule type="cellIs" dxfId="7" priority="4" operator="lessThan">
      <formula>0.65</formula>
    </cfRule>
  </conditionalFormatting>
  <conditionalFormatting sqref="AO23">
    <cfRule type="cellIs" dxfId="6" priority="3" operator="lessThan">
      <formula>0.65</formula>
    </cfRule>
  </conditionalFormatting>
  <conditionalFormatting sqref="AU23">
    <cfRule type="cellIs" dxfId="5" priority="2" operator="lessThan">
      <formula>0.65</formula>
    </cfRule>
  </conditionalFormatting>
  <conditionalFormatting sqref="BA23:BB23">
    <cfRule type="cellIs" dxfId="4" priority="1" operator="lessThan">
      <formula>0.65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6357C-6FFB-45DA-833E-869307AE9A98}">
  <dimension ref="B1:P44"/>
  <sheetViews>
    <sheetView workbookViewId="0">
      <selection activeCell="M23" sqref="M23"/>
    </sheetView>
  </sheetViews>
  <sheetFormatPr defaultRowHeight="14.4" x14ac:dyDescent="0.3"/>
  <cols>
    <col min="2" max="2" width="15.33203125" customWidth="1"/>
  </cols>
  <sheetData>
    <row r="1" spans="2:16" ht="15" thickBot="1" x14ac:dyDescent="0.35"/>
    <row r="2" spans="2:16" ht="15" thickBot="1" x14ac:dyDescent="0.35">
      <c r="B2" s="69" t="s">
        <v>236</v>
      </c>
      <c r="C2" s="70"/>
      <c r="D2" s="70"/>
      <c r="E2" s="70"/>
      <c r="F2" s="71"/>
      <c r="H2" s="69" t="s">
        <v>240</v>
      </c>
      <c r="I2" s="70"/>
      <c r="J2" s="70"/>
      <c r="K2" s="70"/>
      <c r="L2" s="71"/>
    </row>
    <row r="3" spans="2:16" ht="15" thickBot="1" x14ac:dyDescent="0.35">
      <c r="B3" s="2" t="s">
        <v>3</v>
      </c>
      <c r="C3" s="3" t="s">
        <v>4</v>
      </c>
      <c r="D3" s="3" t="s">
        <v>5</v>
      </c>
      <c r="E3" s="4" t="s">
        <v>6</v>
      </c>
      <c r="F3" s="5" t="s">
        <v>7</v>
      </c>
      <c r="H3" s="2" t="s">
        <v>3</v>
      </c>
      <c r="I3" s="3" t="s">
        <v>4</v>
      </c>
      <c r="J3" s="3" t="s">
        <v>5</v>
      </c>
      <c r="K3" s="4" t="s">
        <v>6</v>
      </c>
      <c r="L3" s="5" t="s">
        <v>7</v>
      </c>
    </row>
    <row r="4" spans="2:16" x14ac:dyDescent="0.3">
      <c r="B4" s="15" t="s">
        <v>160</v>
      </c>
      <c r="C4" s="16" t="s">
        <v>11</v>
      </c>
      <c r="D4" s="17">
        <v>1</v>
      </c>
      <c r="E4" s="18">
        <v>4</v>
      </c>
      <c r="F4" s="11">
        <f t="shared" ref="F4:F13" si="0">+E4*D4</f>
        <v>4</v>
      </c>
      <c r="H4" s="15" t="s">
        <v>241</v>
      </c>
      <c r="I4" s="16" t="s">
        <v>11</v>
      </c>
      <c r="J4" s="17">
        <v>1</v>
      </c>
      <c r="K4" s="18">
        <v>4</v>
      </c>
      <c r="L4" s="11">
        <f t="shared" ref="L4:L13" si="1">+K4*J4</f>
        <v>4</v>
      </c>
      <c r="O4" t="s">
        <v>440</v>
      </c>
      <c r="P4">
        <v>31.56</v>
      </c>
    </row>
    <row r="5" spans="2:16" x14ac:dyDescent="0.3">
      <c r="B5" s="15" t="s">
        <v>14</v>
      </c>
      <c r="C5" s="16" t="s">
        <v>38</v>
      </c>
      <c r="D5" s="17">
        <v>1</v>
      </c>
      <c r="E5" s="18">
        <v>1.5</v>
      </c>
      <c r="F5" s="11">
        <f t="shared" si="0"/>
        <v>1.5</v>
      </c>
      <c r="H5" s="15"/>
      <c r="I5" s="16"/>
      <c r="J5" s="17"/>
      <c r="K5" s="18"/>
      <c r="L5" s="11">
        <f t="shared" si="1"/>
        <v>0</v>
      </c>
      <c r="O5" t="s">
        <v>12</v>
      </c>
      <c r="P5">
        <v>1.48</v>
      </c>
    </row>
    <row r="6" spans="2:16" x14ac:dyDescent="0.3">
      <c r="B6" s="15" t="s">
        <v>237</v>
      </c>
      <c r="C6" s="16" t="s">
        <v>238</v>
      </c>
      <c r="D6" s="17">
        <v>2.25</v>
      </c>
      <c r="E6" s="18">
        <v>4</v>
      </c>
      <c r="F6" s="11">
        <f t="shared" si="0"/>
        <v>9</v>
      </c>
      <c r="H6" s="15"/>
      <c r="I6" s="16"/>
      <c r="J6" s="17"/>
      <c r="K6" s="18"/>
      <c r="L6" s="11">
        <f t="shared" si="1"/>
        <v>0</v>
      </c>
    </row>
    <row r="7" spans="2:16" x14ac:dyDescent="0.3">
      <c r="B7" s="19"/>
      <c r="C7" s="20"/>
      <c r="D7" s="20"/>
      <c r="E7" s="21"/>
      <c r="F7" s="11">
        <f t="shared" si="0"/>
        <v>0</v>
      </c>
      <c r="G7" t="s">
        <v>239</v>
      </c>
      <c r="H7" s="19"/>
      <c r="I7" s="20"/>
      <c r="J7" s="20"/>
      <c r="K7" s="21"/>
      <c r="L7" s="11">
        <f t="shared" si="1"/>
        <v>0</v>
      </c>
    </row>
    <row r="8" spans="2:16" x14ac:dyDescent="0.3">
      <c r="B8" s="19"/>
      <c r="C8" s="20"/>
      <c r="D8" s="20"/>
      <c r="E8" s="21"/>
      <c r="F8" s="11">
        <f t="shared" si="0"/>
        <v>0</v>
      </c>
      <c r="H8" s="19"/>
      <c r="I8" s="20"/>
      <c r="J8" s="20"/>
      <c r="K8" s="21"/>
      <c r="L8" s="11">
        <f t="shared" si="1"/>
        <v>0</v>
      </c>
    </row>
    <row r="9" spans="2:16" x14ac:dyDescent="0.3">
      <c r="B9" s="19"/>
      <c r="C9" s="20"/>
      <c r="D9" s="20"/>
      <c r="E9" s="21"/>
      <c r="F9" s="11">
        <f t="shared" si="0"/>
        <v>0</v>
      </c>
      <c r="H9" s="19"/>
      <c r="I9" s="20"/>
      <c r="J9" s="20"/>
      <c r="K9" s="21"/>
      <c r="L9" s="11">
        <f t="shared" si="1"/>
        <v>0</v>
      </c>
    </row>
    <row r="10" spans="2:16" x14ac:dyDescent="0.3">
      <c r="B10" s="19"/>
      <c r="C10" s="20"/>
      <c r="D10" s="20"/>
      <c r="E10" s="21"/>
      <c r="F10" s="11">
        <f t="shared" si="0"/>
        <v>0</v>
      </c>
      <c r="H10" s="19"/>
      <c r="I10" s="20"/>
      <c r="J10" s="20"/>
      <c r="K10" s="21"/>
      <c r="L10" s="11">
        <f t="shared" si="1"/>
        <v>0</v>
      </c>
    </row>
    <row r="11" spans="2:16" x14ac:dyDescent="0.3">
      <c r="B11" s="19"/>
      <c r="C11" s="20"/>
      <c r="D11" s="20"/>
      <c r="E11" s="21"/>
      <c r="F11" s="11">
        <f t="shared" si="0"/>
        <v>0</v>
      </c>
      <c r="H11" s="19"/>
      <c r="I11" s="20"/>
      <c r="J11" s="20"/>
      <c r="K11" s="21"/>
      <c r="L11" s="11">
        <f t="shared" si="1"/>
        <v>0</v>
      </c>
    </row>
    <row r="12" spans="2:16" x14ac:dyDescent="0.3">
      <c r="B12" s="19"/>
      <c r="C12" s="20"/>
      <c r="D12" s="20"/>
      <c r="E12" s="21"/>
      <c r="F12" s="11">
        <f t="shared" si="0"/>
        <v>0</v>
      </c>
      <c r="H12" s="19"/>
      <c r="I12" s="20"/>
      <c r="J12" s="20"/>
      <c r="K12" s="21"/>
      <c r="L12" s="11">
        <f t="shared" si="1"/>
        <v>0</v>
      </c>
    </row>
    <row r="13" spans="2:16" x14ac:dyDescent="0.3">
      <c r="B13" s="19"/>
      <c r="C13" s="20"/>
      <c r="D13" s="20"/>
      <c r="E13" s="21"/>
      <c r="F13" s="11">
        <f t="shared" si="0"/>
        <v>0</v>
      </c>
      <c r="H13" s="19"/>
      <c r="I13" s="20"/>
      <c r="J13" s="20"/>
      <c r="K13" s="21"/>
      <c r="L13" s="11">
        <f t="shared" si="1"/>
        <v>0</v>
      </c>
    </row>
    <row r="14" spans="2:16" ht="15" thickBot="1" x14ac:dyDescent="0.35">
      <c r="B14" s="22"/>
      <c r="C14" s="23"/>
      <c r="D14" s="23"/>
      <c r="E14" s="24"/>
      <c r="F14" s="25"/>
      <c r="H14" s="22"/>
      <c r="I14" s="23"/>
      <c r="J14" s="23"/>
      <c r="K14" s="24"/>
      <c r="L14" s="25"/>
    </row>
    <row r="15" spans="2:16" ht="15" thickBot="1" x14ac:dyDescent="0.35">
      <c r="B15" s="1"/>
      <c r="C15" s="1"/>
      <c r="D15" s="72" t="s">
        <v>26</v>
      </c>
      <c r="E15" s="73"/>
      <c r="F15" s="26">
        <f>SUM(F4:F14)</f>
        <v>14.5</v>
      </c>
      <c r="H15" s="1"/>
      <c r="I15" s="1"/>
      <c r="J15" s="72" t="s">
        <v>26</v>
      </c>
      <c r="K15" s="73"/>
      <c r="L15" s="26">
        <f>SUM(L4:L14)</f>
        <v>4</v>
      </c>
    </row>
    <row r="16" spans="2:16" ht="15" thickBot="1" x14ac:dyDescent="0.35">
      <c r="B16" s="1"/>
      <c r="C16" s="1"/>
      <c r="D16" s="72" t="s">
        <v>27</v>
      </c>
      <c r="E16" s="73"/>
      <c r="F16" s="26">
        <f>+F15*1.145</f>
        <v>16.602499999999999</v>
      </c>
      <c r="H16" s="1"/>
      <c r="I16" s="1"/>
      <c r="J16" s="72" t="s">
        <v>27</v>
      </c>
      <c r="K16" s="73"/>
      <c r="L16" s="26">
        <f>+L15*1.145</f>
        <v>4.58</v>
      </c>
    </row>
    <row r="17" spans="2:12" ht="15" thickBot="1" x14ac:dyDescent="0.35">
      <c r="B17" s="1"/>
      <c r="C17" s="1"/>
      <c r="D17" s="72" t="s">
        <v>28</v>
      </c>
      <c r="E17" s="73"/>
      <c r="F17" s="26">
        <v>52</v>
      </c>
      <c r="H17" s="1"/>
      <c r="I17" s="1"/>
      <c r="J17" s="72" t="s">
        <v>28</v>
      </c>
      <c r="K17" s="73"/>
      <c r="L17" s="26">
        <v>52</v>
      </c>
    </row>
    <row r="18" spans="2:12" ht="15" thickBot="1" x14ac:dyDescent="0.35">
      <c r="B18" s="1"/>
      <c r="C18" s="1"/>
      <c r="D18" s="72" t="s">
        <v>29</v>
      </c>
      <c r="E18" s="74"/>
      <c r="F18" s="27">
        <f>F16/F17*100</f>
        <v>31.927884615384617</v>
      </c>
      <c r="H18" s="1"/>
      <c r="I18" s="1"/>
      <c r="J18" s="72" t="s">
        <v>29</v>
      </c>
      <c r="K18" s="74"/>
      <c r="L18" s="27">
        <f>L16/L17*100</f>
        <v>8.8076923076923084</v>
      </c>
    </row>
    <row r="19" spans="2:12" x14ac:dyDescent="0.3">
      <c r="B19" s="1"/>
      <c r="C19" s="1"/>
      <c r="D19" s="1"/>
      <c r="E19" s="28" t="s">
        <v>30</v>
      </c>
      <c r="F19" s="16">
        <f>100-F18</f>
        <v>68.072115384615387</v>
      </c>
      <c r="H19" s="1"/>
      <c r="I19" s="1"/>
      <c r="J19" s="1"/>
      <c r="K19" s="28" t="s">
        <v>30</v>
      </c>
      <c r="L19" s="16">
        <f>100-L18</f>
        <v>91.192307692307693</v>
      </c>
    </row>
    <row r="21" spans="2:12" ht="15" thickBot="1" x14ac:dyDescent="0.35"/>
    <row r="22" spans="2:12" ht="15" thickBot="1" x14ac:dyDescent="0.35">
      <c r="B22" s="69" t="s">
        <v>307</v>
      </c>
      <c r="C22" s="70"/>
      <c r="D22" s="70"/>
      <c r="E22" s="70"/>
      <c r="F22" s="71"/>
      <c r="H22" s="69" t="s">
        <v>441</v>
      </c>
      <c r="I22" s="70"/>
      <c r="J22" s="70"/>
      <c r="K22" s="70"/>
      <c r="L22" s="71"/>
    </row>
    <row r="23" spans="2:12" ht="15" thickBot="1" x14ac:dyDescent="0.35">
      <c r="B23" s="2" t="s">
        <v>3</v>
      </c>
      <c r="C23" s="3" t="s">
        <v>4</v>
      </c>
      <c r="D23" s="3" t="s">
        <v>5</v>
      </c>
      <c r="E23" s="4" t="s">
        <v>6</v>
      </c>
      <c r="F23" s="5" t="s">
        <v>7</v>
      </c>
      <c r="H23" s="2" t="s">
        <v>3</v>
      </c>
      <c r="I23" s="3" t="s">
        <v>4</v>
      </c>
      <c r="J23" s="3" t="s">
        <v>5</v>
      </c>
      <c r="K23" s="4" t="s">
        <v>6</v>
      </c>
      <c r="L23" s="5" t="s">
        <v>7</v>
      </c>
    </row>
    <row r="24" spans="2:12" x14ac:dyDescent="0.3">
      <c r="B24" s="7" t="s">
        <v>12</v>
      </c>
      <c r="C24" s="8" t="s">
        <v>34</v>
      </c>
      <c r="D24" s="9">
        <v>1.35</v>
      </c>
      <c r="E24" s="10">
        <v>1</v>
      </c>
      <c r="F24" s="11">
        <f t="shared" ref="F24:F38" si="2">+E24*D24</f>
        <v>1.35</v>
      </c>
      <c r="H24" s="7" t="s">
        <v>442</v>
      </c>
      <c r="I24" s="8" t="s">
        <v>34</v>
      </c>
      <c r="J24" s="9">
        <v>1.8</v>
      </c>
      <c r="K24" s="10">
        <v>1.1000000000000001</v>
      </c>
      <c r="L24" s="11">
        <f t="shared" ref="L24:L26" si="3">+K24*J24</f>
        <v>1.9800000000000002</v>
      </c>
    </row>
    <row r="25" spans="2:12" x14ac:dyDescent="0.3">
      <c r="B25" s="15" t="s">
        <v>303</v>
      </c>
      <c r="C25" s="16" t="s">
        <v>11</v>
      </c>
      <c r="D25" s="17">
        <v>18.899999999999999</v>
      </c>
      <c r="E25" s="18">
        <v>0.12</v>
      </c>
      <c r="F25" s="11">
        <f t="shared" si="2"/>
        <v>2.2679999999999998</v>
      </c>
      <c r="H25" s="15" t="s">
        <v>443</v>
      </c>
      <c r="I25" s="16" t="s">
        <v>11</v>
      </c>
      <c r="J25" s="17">
        <v>8.5</v>
      </c>
      <c r="K25" s="18">
        <v>1.5</v>
      </c>
      <c r="L25" s="11">
        <f t="shared" si="3"/>
        <v>12.75</v>
      </c>
    </row>
    <row r="26" spans="2:12" x14ac:dyDescent="0.3">
      <c r="B26" s="15" t="s">
        <v>181</v>
      </c>
      <c r="C26" s="16" t="s">
        <v>11</v>
      </c>
      <c r="D26" s="17">
        <v>9.1999999999999993</v>
      </c>
      <c r="E26" s="18">
        <v>0.25</v>
      </c>
      <c r="F26" s="11">
        <f t="shared" si="2"/>
        <v>2.2999999999999998</v>
      </c>
      <c r="H26" s="15" t="s">
        <v>444</v>
      </c>
      <c r="I26" s="16"/>
      <c r="J26" s="17">
        <v>7.5</v>
      </c>
      <c r="K26" s="18">
        <v>0.25</v>
      </c>
      <c r="L26" s="11">
        <f t="shared" si="3"/>
        <v>1.875</v>
      </c>
    </row>
    <row r="27" spans="2:12" x14ac:dyDescent="0.3">
      <c r="B27" s="15" t="s">
        <v>304</v>
      </c>
      <c r="C27" s="16" t="s">
        <v>11</v>
      </c>
      <c r="D27" s="17">
        <v>11</v>
      </c>
      <c r="E27" s="18">
        <v>5.0000000000000001E-3</v>
      </c>
      <c r="F27" s="11">
        <f t="shared" si="2"/>
        <v>5.5E-2</v>
      </c>
      <c r="H27" s="15"/>
      <c r="I27" s="16"/>
      <c r="J27" s="17"/>
      <c r="K27" s="18"/>
      <c r="L27" s="11"/>
    </row>
    <row r="28" spans="2:12" x14ac:dyDescent="0.3">
      <c r="B28" s="15" t="s">
        <v>305</v>
      </c>
      <c r="C28" s="16" t="s">
        <v>11</v>
      </c>
      <c r="D28" s="17">
        <v>7.56</v>
      </c>
      <c r="E28" s="18">
        <v>5.0000000000000001E-3</v>
      </c>
      <c r="F28" s="11">
        <f t="shared" si="2"/>
        <v>3.78E-2</v>
      </c>
      <c r="H28" s="15"/>
      <c r="I28" s="16"/>
      <c r="J28" s="17"/>
      <c r="K28" s="18"/>
      <c r="L28" s="11"/>
    </row>
    <row r="29" spans="2:12" x14ac:dyDescent="0.3">
      <c r="B29" s="15" t="s">
        <v>306</v>
      </c>
      <c r="C29" s="16"/>
      <c r="D29" s="17">
        <v>3.5</v>
      </c>
      <c r="E29" s="18">
        <v>1</v>
      </c>
      <c r="F29" s="11">
        <f t="shared" si="2"/>
        <v>3.5</v>
      </c>
      <c r="H29" s="15"/>
      <c r="I29" s="16"/>
      <c r="J29" s="17"/>
      <c r="K29" s="18"/>
      <c r="L29" s="11"/>
    </row>
    <row r="30" spans="2:12" x14ac:dyDescent="0.3">
      <c r="B30" s="15" t="s">
        <v>14</v>
      </c>
      <c r="C30" s="16" t="s">
        <v>11</v>
      </c>
      <c r="D30" s="17">
        <v>1</v>
      </c>
      <c r="E30" s="18">
        <v>0.03</v>
      </c>
      <c r="F30" s="11">
        <f t="shared" si="2"/>
        <v>0.03</v>
      </c>
      <c r="H30" s="15"/>
      <c r="I30" s="16"/>
      <c r="J30" s="17"/>
      <c r="K30" s="18"/>
      <c r="L30" s="11"/>
    </row>
    <row r="31" spans="2:12" x14ac:dyDescent="0.3">
      <c r="B31" s="15"/>
      <c r="C31" s="16"/>
      <c r="D31" s="17"/>
      <c r="E31" s="18"/>
      <c r="F31" s="11"/>
      <c r="H31" s="15"/>
      <c r="I31" s="16"/>
      <c r="J31" s="17"/>
      <c r="K31" s="18"/>
      <c r="L31" s="11"/>
    </row>
    <row r="32" spans="2:12" x14ac:dyDescent="0.3">
      <c r="B32" s="19"/>
      <c r="C32" s="20"/>
      <c r="D32" s="20"/>
      <c r="E32" s="21"/>
      <c r="F32" s="11"/>
      <c r="H32" s="19"/>
      <c r="I32" s="20"/>
      <c r="J32" s="20"/>
      <c r="K32" s="21"/>
      <c r="L32" s="11"/>
    </row>
    <row r="33" spans="2:12" x14ac:dyDescent="0.3">
      <c r="B33" s="19"/>
      <c r="C33" s="20"/>
      <c r="D33" s="20"/>
      <c r="E33" s="21"/>
      <c r="F33" s="11">
        <f t="shared" si="2"/>
        <v>0</v>
      </c>
      <c r="H33" s="19"/>
      <c r="I33" s="20"/>
      <c r="J33" s="20"/>
      <c r="K33" s="21"/>
      <c r="L33" s="11">
        <f t="shared" ref="L33:L38" si="4">+K33*J33</f>
        <v>0</v>
      </c>
    </row>
    <row r="34" spans="2:12" x14ac:dyDescent="0.3">
      <c r="B34" s="19"/>
      <c r="C34" s="20"/>
      <c r="D34" s="20"/>
      <c r="E34" s="21"/>
      <c r="F34" s="11">
        <f t="shared" si="2"/>
        <v>0</v>
      </c>
      <c r="H34" s="19"/>
      <c r="I34" s="20"/>
      <c r="J34" s="20"/>
      <c r="K34" s="21"/>
      <c r="L34" s="11">
        <f t="shared" si="4"/>
        <v>0</v>
      </c>
    </row>
    <row r="35" spans="2:12" x14ac:dyDescent="0.3">
      <c r="B35" s="19"/>
      <c r="C35" s="20"/>
      <c r="D35" s="20"/>
      <c r="E35" s="21"/>
      <c r="F35" s="11">
        <f t="shared" si="2"/>
        <v>0</v>
      </c>
      <c r="H35" s="19"/>
      <c r="I35" s="20"/>
      <c r="J35" s="20"/>
      <c r="K35" s="21"/>
      <c r="L35" s="11">
        <f t="shared" si="4"/>
        <v>0</v>
      </c>
    </row>
    <row r="36" spans="2:12" x14ac:dyDescent="0.3">
      <c r="B36" s="19"/>
      <c r="C36" s="20"/>
      <c r="D36" s="20"/>
      <c r="E36" s="21"/>
      <c r="F36" s="11">
        <f t="shared" si="2"/>
        <v>0</v>
      </c>
      <c r="H36" s="19"/>
      <c r="I36" s="20"/>
      <c r="J36" s="20"/>
      <c r="K36" s="21"/>
      <c r="L36" s="11">
        <f t="shared" si="4"/>
        <v>0</v>
      </c>
    </row>
    <row r="37" spans="2:12" x14ac:dyDescent="0.3">
      <c r="B37" s="19"/>
      <c r="C37" s="20"/>
      <c r="D37" s="20"/>
      <c r="E37" s="21"/>
      <c r="F37" s="11">
        <f t="shared" si="2"/>
        <v>0</v>
      </c>
      <c r="H37" s="19"/>
      <c r="I37" s="20"/>
      <c r="J37" s="20"/>
      <c r="K37" s="21"/>
      <c r="L37" s="11">
        <f t="shared" si="4"/>
        <v>0</v>
      </c>
    </row>
    <row r="38" spans="2:12" x14ac:dyDescent="0.3">
      <c r="B38" s="19"/>
      <c r="C38" s="20"/>
      <c r="D38" s="20"/>
      <c r="E38" s="21"/>
      <c r="F38" s="11">
        <f t="shared" si="2"/>
        <v>0</v>
      </c>
      <c r="H38" s="19"/>
      <c r="I38" s="20"/>
      <c r="J38" s="20"/>
      <c r="K38" s="21"/>
      <c r="L38" s="11">
        <f t="shared" si="4"/>
        <v>0</v>
      </c>
    </row>
    <row r="39" spans="2:12" ht="15" thickBot="1" x14ac:dyDescent="0.35">
      <c r="B39" s="22"/>
      <c r="C39" s="23"/>
      <c r="D39" s="23"/>
      <c r="E39" s="24"/>
      <c r="F39" s="25"/>
      <c r="H39" s="22"/>
      <c r="I39" s="23"/>
      <c r="J39" s="23"/>
      <c r="K39" s="24"/>
      <c r="L39" s="25"/>
    </row>
    <row r="40" spans="2:12" ht="15" thickBot="1" x14ac:dyDescent="0.35">
      <c r="B40" s="1"/>
      <c r="C40" s="1"/>
      <c r="D40" s="72" t="s">
        <v>26</v>
      </c>
      <c r="E40" s="73"/>
      <c r="F40" s="26">
        <f>SUM(F24:F39)</f>
        <v>9.5407999999999991</v>
      </c>
      <c r="H40" s="1"/>
      <c r="I40" s="1"/>
      <c r="J40" s="72" t="s">
        <v>26</v>
      </c>
      <c r="K40" s="73"/>
      <c r="L40" s="26">
        <f>SUM(L24:L39)</f>
        <v>16.605</v>
      </c>
    </row>
    <row r="41" spans="2:12" ht="15" thickBot="1" x14ac:dyDescent="0.35">
      <c r="B41" s="1"/>
      <c r="C41" s="1"/>
      <c r="D41" s="72" t="s">
        <v>27</v>
      </c>
      <c r="E41" s="73"/>
      <c r="F41" s="26">
        <f>+F40*1.145</f>
        <v>10.924215999999999</v>
      </c>
      <c r="H41" s="1"/>
      <c r="I41" s="1"/>
      <c r="J41" s="72" t="s">
        <v>27</v>
      </c>
      <c r="K41" s="73"/>
      <c r="L41" s="26">
        <f>+L40*1.145</f>
        <v>19.012725</v>
      </c>
    </row>
    <row r="42" spans="2:12" ht="15" thickBot="1" x14ac:dyDescent="0.35">
      <c r="B42" s="1"/>
      <c r="C42" s="1"/>
      <c r="D42" s="72" t="s">
        <v>28</v>
      </c>
      <c r="E42" s="73"/>
      <c r="F42" s="26">
        <v>25</v>
      </c>
      <c r="H42" s="1"/>
      <c r="I42" s="1"/>
      <c r="J42" s="72" t="s">
        <v>28</v>
      </c>
      <c r="K42" s="73"/>
      <c r="L42" s="26">
        <v>75</v>
      </c>
    </row>
    <row r="43" spans="2:12" ht="15" thickBot="1" x14ac:dyDescent="0.35">
      <c r="B43" s="1"/>
      <c r="C43" s="1"/>
      <c r="D43" s="72" t="s">
        <v>29</v>
      </c>
      <c r="E43" s="74"/>
      <c r="F43" s="27">
        <f>F41/F42*100</f>
        <v>43.696863999999998</v>
      </c>
      <c r="H43" s="1"/>
      <c r="I43" s="1"/>
      <c r="J43" s="72" t="s">
        <v>29</v>
      </c>
      <c r="K43" s="74"/>
      <c r="L43" s="27">
        <f>L41/L42*100</f>
        <v>25.350299999999997</v>
      </c>
    </row>
    <row r="44" spans="2:12" x14ac:dyDescent="0.3">
      <c r="B44" s="1"/>
      <c r="C44" s="1"/>
      <c r="D44" s="1"/>
      <c r="E44" s="28" t="s">
        <v>30</v>
      </c>
      <c r="F44" s="16">
        <f>100-F43</f>
        <v>56.303136000000002</v>
      </c>
      <c r="H44" s="1"/>
      <c r="I44" s="1"/>
      <c r="J44" s="1"/>
      <c r="K44" s="28" t="s">
        <v>30</v>
      </c>
      <c r="L44" s="16">
        <f>100-L43</f>
        <v>74.649699999999996</v>
      </c>
    </row>
  </sheetData>
  <mergeCells count="20">
    <mergeCell ref="B22:F22"/>
    <mergeCell ref="D40:E40"/>
    <mergeCell ref="D41:E41"/>
    <mergeCell ref="D42:E42"/>
    <mergeCell ref="D43:E43"/>
    <mergeCell ref="B2:F2"/>
    <mergeCell ref="D15:E15"/>
    <mergeCell ref="D16:E16"/>
    <mergeCell ref="D17:E17"/>
    <mergeCell ref="D18:E18"/>
    <mergeCell ref="H2:L2"/>
    <mergeCell ref="J15:K15"/>
    <mergeCell ref="J16:K16"/>
    <mergeCell ref="J17:K17"/>
    <mergeCell ref="J18:K18"/>
    <mergeCell ref="H22:L22"/>
    <mergeCell ref="J40:K40"/>
    <mergeCell ref="J41:K41"/>
    <mergeCell ref="J42:K42"/>
    <mergeCell ref="J43:K43"/>
  </mergeCells>
  <conditionalFormatting sqref="F18">
    <cfRule type="cellIs" dxfId="3" priority="4" operator="lessThan">
      <formula>0.65</formula>
    </cfRule>
  </conditionalFormatting>
  <conditionalFormatting sqref="F43">
    <cfRule type="cellIs" dxfId="2" priority="2" operator="lessThan">
      <formula>0.65</formula>
    </cfRule>
  </conditionalFormatting>
  <conditionalFormatting sqref="L18">
    <cfRule type="cellIs" dxfId="1" priority="3" operator="lessThan">
      <formula>0.65</formula>
    </cfRule>
  </conditionalFormatting>
  <conditionalFormatting sqref="L43">
    <cfRule type="cellIs" dxfId="0" priority="1" operator="lessThan">
      <formula>0.65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BAKERY </vt:lpstr>
      <vt:lpstr>INDEX</vt:lpstr>
      <vt:lpstr>KITCHEN </vt:lpstr>
      <vt:lpstr>SPECIAL </vt:lpstr>
      <vt:lpstr>HP</vt:lpstr>
      <vt:lpstr>Sheet1</vt:lpstr>
      <vt:lpstr>Sheet2</vt:lpstr>
      <vt:lpstr>BARISTA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Banville</dc:creator>
  <cp:lastModifiedBy>French Bakery</cp:lastModifiedBy>
  <cp:lastPrinted>2026-01-06T07:47:19Z</cp:lastPrinted>
  <dcterms:created xsi:type="dcterms:W3CDTF">2024-06-27T06:22:59Z</dcterms:created>
  <dcterms:modified xsi:type="dcterms:W3CDTF">2026-06-12T13:08:20Z</dcterms:modified>
</cp:coreProperties>
</file>