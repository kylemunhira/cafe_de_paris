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feDeParis\Desktop\2026\DAILY DEENA TASKS\"/>
    </mc:Choice>
  </mc:AlternateContent>
  <xr:revisionPtr revIDLastSave="0" documentId="13_ncr:1_{118007FF-8372-43AB-A3B4-6DD585AA4F83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Sheet2" sheetId="2" r:id="rId1"/>
    <sheet name="Sheet3" sheetId="4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4" i="4" l="1"/>
  <c r="A54" i="4" s="1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A40" i="4" l="1"/>
  <c r="A41" i="4"/>
  <c r="A42" i="4"/>
  <c r="A43" i="4"/>
  <c r="A44" i="4"/>
  <c r="K4" i="4" l="1"/>
  <c r="A100" i="4" l="1"/>
  <c r="A101" i="4"/>
  <c r="A34" i="4" l="1"/>
  <c r="A35" i="4"/>
  <c r="A36" i="4"/>
  <c r="A38" i="4"/>
  <c r="A39" i="4"/>
  <c r="A53" i="4" l="1"/>
  <c r="A68" i="4"/>
  <c r="A15" i="4" l="1"/>
  <c r="A16" i="4"/>
  <c r="A17" i="4"/>
  <c r="A80" i="4"/>
  <c r="A81" i="4"/>
  <c r="A51" i="4"/>
  <c r="A14" i="4" l="1"/>
  <c r="A78" i="4"/>
  <c r="A79" i="4"/>
  <c r="A82" i="4"/>
  <c r="A5" i="4" l="1"/>
  <c r="A6" i="4"/>
  <c r="A7" i="4"/>
  <c r="A8" i="4"/>
  <c r="A9" i="4"/>
  <c r="A10" i="4"/>
  <c r="A11" i="4"/>
  <c r="A12" i="4"/>
  <c r="A13" i="4"/>
  <c r="A18" i="4"/>
  <c r="A19" i="4"/>
  <c r="A20" i="4"/>
  <c r="A21" i="4"/>
  <c r="A22" i="4"/>
  <c r="A23" i="4"/>
  <c r="A24" i="4"/>
  <c r="A25" i="4"/>
  <c r="A26" i="4"/>
  <c r="A27" i="4"/>
  <c r="A28" i="4"/>
  <c r="A30" i="4"/>
  <c r="A31" i="4"/>
  <c r="A32" i="4"/>
  <c r="A33" i="4"/>
  <c r="A37" i="4"/>
  <c r="A45" i="4"/>
  <c r="A46" i="4"/>
  <c r="A47" i="4"/>
  <c r="A48" i="4"/>
  <c r="A49" i="4"/>
  <c r="A52" i="4"/>
  <c r="A55" i="4"/>
  <c r="A56" i="4"/>
  <c r="A57" i="4"/>
  <c r="A58" i="4"/>
  <c r="A59" i="4"/>
  <c r="A60" i="4"/>
  <c r="A61" i="4"/>
  <c r="A63" i="4"/>
  <c r="A64" i="4"/>
  <c r="A65" i="4"/>
  <c r="A66" i="4"/>
  <c r="A67" i="4"/>
  <c r="A69" i="4"/>
  <c r="A70" i="4"/>
  <c r="A71" i="4"/>
  <c r="A72" i="4"/>
  <c r="A73" i="4"/>
  <c r="A74" i="4"/>
  <c r="A75" i="4"/>
  <c r="A76" i="4"/>
  <c r="A77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2" i="4"/>
  <c r="A103" i="4"/>
  <c r="A104" i="4"/>
  <c r="A105" i="4"/>
  <c r="A106" i="4"/>
  <c r="A107" i="4"/>
  <c r="A108" i="4"/>
  <c r="A109" i="4"/>
  <c r="A4" i="4"/>
  <c r="A76" i="2"/>
  <c r="P36" i="2"/>
  <c r="P37" i="2"/>
  <c r="P38" i="2"/>
  <c r="P39" i="2"/>
  <c r="P40" i="2"/>
  <c r="P41" i="2"/>
  <c r="P42" i="2"/>
  <c r="P43" i="2"/>
  <c r="P44" i="2"/>
  <c r="P45" i="2"/>
  <c r="P46" i="2"/>
  <c r="A46" i="2" s="1"/>
  <c r="P47" i="2"/>
  <c r="A47" i="2" s="1"/>
  <c r="P48" i="2"/>
  <c r="P49" i="2"/>
  <c r="A49" i="2" s="1"/>
  <c r="P50" i="2"/>
  <c r="A50" i="2" s="1"/>
  <c r="P51" i="2"/>
  <c r="A51" i="2" s="1"/>
  <c r="P52" i="2"/>
  <c r="A52" i="2" s="1"/>
  <c r="P53" i="2"/>
  <c r="A53" i="2" s="1"/>
  <c r="P54" i="2"/>
  <c r="A54" i="2" s="1"/>
  <c r="P55" i="2"/>
  <c r="A55" i="2" s="1"/>
  <c r="P56" i="2"/>
  <c r="A56" i="2" s="1"/>
  <c r="P57" i="2"/>
  <c r="A57" i="2" s="1"/>
  <c r="P58" i="2"/>
  <c r="A58" i="2" s="1"/>
  <c r="P59" i="2"/>
  <c r="P60" i="2"/>
  <c r="A60" i="2" s="1"/>
  <c r="P61" i="2"/>
  <c r="A61" i="2" s="1"/>
  <c r="P62" i="2"/>
  <c r="A62" i="2" s="1"/>
  <c r="P6" i="2"/>
  <c r="A6" i="2" s="1"/>
  <c r="P7" i="2"/>
  <c r="P5" i="2" l="1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63" i="2"/>
  <c r="A63" i="2" s="1"/>
  <c r="P64" i="2"/>
  <c r="A64" i="2" s="1"/>
  <c r="P65" i="2"/>
  <c r="A65" i="2" s="1"/>
  <c r="P66" i="2"/>
  <c r="A66" i="2" s="1"/>
  <c r="P67" i="2"/>
  <c r="A67" i="2" s="1"/>
  <c r="P68" i="2"/>
  <c r="A68" i="2" s="1"/>
  <c r="P69" i="2"/>
  <c r="A69" i="2" s="1"/>
  <c r="P70" i="2"/>
  <c r="A70" i="2" s="1"/>
  <c r="P71" i="2"/>
  <c r="A71" i="2" s="1"/>
  <c r="P72" i="2"/>
  <c r="A72" i="2" s="1"/>
  <c r="P73" i="2"/>
  <c r="A73" i="2" s="1"/>
  <c r="P74" i="2"/>
  <c r="A74" i="2" s="1"/>
  <c r="P75" i="2"/>
  <c r="A75" i="2" s="1"/>
  <c r="P77" i="2"/>
  <c r="A77" i="2" s="1"/>
  <c r="P78" i="2"/>
  <c r="A78" i="2" s="1"/>
  <c r="P79" i="2"/>
  <c r="A79" i="2" s="1"/>
  <c r="P80" i="2"/>
  <c r="A80" i="2" s="1"/>
  <c r="P81" i="2"/>
  <c r="A81" i="2" s="1"/>
  <c r="P82" i="2"/>
  <c r="A82" i="2" s="1"/>
  <c r="P83" i="2"/>
  <c r="A83" i="2" s="1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4" i="2" l="1"/>
  <c r="A5" i="2" l="1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4" i="2" l="1"/>
</calcChain>
</file>

<file path=xl/sharedStrings.xml><?xml version="1.0" encoding="utf-8"?>
<sst xmlns="http://schemas.openxmlformats.org/spreadsheetml/2006/main" count="261" uniqueCount="166">
  <si>
    <t xml:space="preserve">SOUR DOUGH </t>
  </si>
  <si>
    <t xml:space="preserve">WHEAT </t>
  </si>
  <si>
    <t xml:space="preserve">BAGUETTE </t>
  </si>
  <si>
    <t xml:space="preserve">ALMOND </t>
  </si>
  <si>
    <t>SWISS</t>
  </si>
  <si>
    <t xml:space="preserve">BEEF PIE </t>
  </si>
  <si>
    <t>PROFITEROLES</t>
  </si>
  <si>
    <t xml:space="preserve">PARIS BREST </t>
  </si>
  <si>
    <t xml:space="preserve">MILLIE FEUILLE </t>
  </si>
  <si>
    <t>MADELEINES</t>
  </si>
  <si>
    <t xml:space="preserve">TUILES AUX AMANDES </t>
  </si>
  <si>
    <t xml:space="preserve">CHURCHILL </t>
  </si>
  <si>
    <t xml:space="preserve">CHICKEN PIE </t>
  </si>
  <si>
    <t xml:space="preserve">BIRIOCHE KITCHEN </t>
  </si>
  <si>
    <t xml:space="preserve">SEED LOAF </t>
  </si>
  <si>
    <t xml:space="preserve">NAME </t>
  </si>
  <si>
    <t xml:space="preserve">GLUTEN FREE MINI CAKE </t>
  </si>
  <si>
    <t xml:space="preserve">MINI MERINGUES FOR COFFEE </t>
  </si>
  <si>
    <t>TOTAL</t>
  </si>
  <si>
    <t>LONG BAGUETTES</t>
  </si>
  <si>
    <t>CIABATA</t>
  </si>
  <si>
    <t>FINANCIERS</t>
  </si>
  <si>
    <t xml:space="preserve">POOLISH </t>
  </si>
  <si>
    <t xml:space="preserve">STRAWBERRY TART  </t>
  </si>
  <si>
    <t xml:space="preserve">LEMON MERINGUE   </t>
  </si>
  <si>
    <t xml:space="preserve">CHOCOLATE CROSSAINTS </t>
  </si>
  <si>
    <t xml:space="preserve">PLAIN CROSSAINTS </t>
  </si>
  <si>
    <t xml:space="preserve">MINI LEMON MERINGUE </t>
  </si>
  <si>
    <t xml:space="preserve">LEMON ALMOND TARTS </t>
  </si>
  <si>
    <t xml:space="preserve">CHELSEA </t>
  </si>
  <si>
    <t xml:space="preserve">120G BIRIOCHE ROLLS </t>
  </si>
  <si>
    <t>CHOCOLATE ÉCLAIR</t>
  </si>
  <si>
    <t xml:space="preserve">MINI PARIS BREST </t>
  </si>
  <si>
    <t>`</t>
  </si>
  <si>
    <t>HP</t>
  </si>
  <si>
    <t>HP KITCHEN</t>
  </si>
  <si>
    <t>KUIGN MANN</t>
  </si>
  <si>
    <t>CHOC ALMOND CROSSAINTS</t>
  </si>
  <si>
    <t xml:space="preserve">BIRIOCHE LOAF </t>
  </si>
  <si>
    <t xml:space="preserve">LARGE GALETTE </t>
  </si>
  <si>
    <t xml:space="preserve">FRAISIER </t>
  </si>
  <si>
    <t xml:space="preserve">CHURCHILL KITCHEN </t>
  </si>
  <si>
    <t xml:space="preserve"> </t>
  </si>
  <si>
    <t xml:space="preserve">CROQUMBOUCHE </t>
  </si>
  <si>
    <t xml:space="preserve">DANISH PASTRIES -APRICOT </t>
  </si>
  <si>
    <t>PALMIERS</t>
  </si>
  <si>
    <t xml:space="preserve">FRUIT TART </t>
  </si>
  <si>
    <t xml:space="preserve">PROFITEROLES WITH CHOCOLATE PASTRY CREAM </t>
  </si>
  <si>
    <t xml:space="preserve">HOT CROSS BUNS </t>
  </si>
  <si>
    <t xml:space="preserve">CHOCOLATE CAKE MINI </t>
  </si>
  <si>
    <t xml:space="preserve">ST HONOURE SMALL </t>
  </si>
  <si>
    <t>MERVEILLEUX</t>
  </si>
  <si>
    <t xml:space="preserve">WHOLEWHEAT SOURDOUGH </t>
  </si>
  <si>
    <t xml:space="preserve">EMMANTAL CHEESE PIES </t>
  </si>
  <si>
    <t xml:space="preserve">EASTER CAKE </t>
  </si>
  <si>
    <t xml:space="preserve">BREAD AND BUTTER PUDDING </t>
  </si>
  <si>
    <t>MACAROONS- GREEN</t>
  </si>
  <si>
    <t>MACAROONS-PINK</t>
  </si>
  <si>
    <t xml:space="preserve">MACAROONS- PURPLE </t>
  </si>
  <si>
    <t xml:space="preserve">MACAROONS- WHITE </t>
  </si>
  <si>
    <t xml:space="preserve">MACAROONS - YELLOW </t>
  </si>
  <si>
    <t xml:space="preserve">PATES DE NATES </t>
  </si>
  <si>
    <t xml:space="preserve">CHOCOLATE NIB </t>
  </si>
  <si>
    <t xml:space="preserve">COFFEE ÉCLAIR </t>
  </si>
  <si>
    <t xml:space="preserve">ROLLS  </t>
  </si>
  <si>
    <t xml:space="preserve">VOL AU VENT </t>
  </si>
  <si>
    <t xml:space="preserve">PUFF PASTRY </t>
  </si>
  <si>
    <t xml:space="preserve">CARROT CAKE </t>
  </si>
  <si>
    <t>DOUGHNUT-  MINI</t>
  </si>
  <si>
    <t xml:space="preserve">DOUGHNUT MED </t>
  </si>
  <si>
    <t xml:space="preserve">DOUGHNUT NORMAL </t>
  </si>
  <si>
    <t xml:space="preserve">BREAD ROLLS -120 G </t>
  </si>
  <si>
    <t xml:space="preserve">BREAD ROLLS - 100 G </t>
  </si>
  <si>
    <t>PANINI</t>
  </si>
  <si>
    <t>MINI CHELSEA</t>
  </si>
  <si>
    <t xml:space="preserve">BLUEBERRY TART </t>
  </si>
  <si>
    <t>TIME</t>
  </si>
  <si>
    <t xml:space="preserve">MACAROONS- BROWN </t>
  </si>
  <si>
    <t xml:space="preserve">FRAISIER - 10 PEOPLE </t>
  </si>
  <si>
    <t xml:space="preserve">APPLE TURNOVER </t>
  </si>
  <si>
    <t xml:space="preserve">FLAN - 8 PEOPLE </t>
  </si>
  <si>
    <t>ST HONOURE - 8 PEOPLE</t>
  </si>
  <si>
    <t xml:space="preserve">CROUGHNUTS </t>
  </si>
  <si>
    <t xml:space="preserve">BIG CHOC CHIP </t>
  </si>
  <si>
    <t xml:space="preserve">MINI MILLIE FUILLE </t>
  </si>
  <si>
    <t xml:space="preserve">BIG CROISSANTS </t>
  </si>
  <si>
    <t xml:space="preserve">PEANUT BUTTER COOKIES </t>
  </si>
  <si>
    <t xml:space="preserve">LARGE LEMON MERINGUE - 10 PEOPLE </t>
  </si>
  <si>
    <t xml:space="preserve">SMALL COOKIES </t>
  </si>
  <si>
    <t xml:space="preserve">LEMON CHEESECAKE LARGE </t>
  </si>
  <si>
    <t xml:space="preserve">BREAD ROLLS-20 G </t>
  </si>
  <si>
    <t>EASTROAD</t>
  </si>
  <si>
    <t>ZESA</t>
  </si>
  <si>
    <t xml:space="preserve">HOUSE </t>
  </si>
  <si>
    <t xml:space="preserve">HP </t>
  </si>
  <si>
    <t>CHURCHILL</t>
  </si>
  <si>
    <t>CHINGWE PVT LTD</t>
  </si>
  <si>
    <t>PRESTON DRIVE</t>
  </si>
  <si>
    <t>MODERN TOUCH</t>
  </si>
  <si>
    <t>KD PAPPALEXIS</t>
  </si>
  <si>
    <t xml:space="preserve">LICENSES </t>
  </si>
  <si>
    <t xml:space="preserve">HP WASTE </t>
  </si>
  <si>
    <t>CH MEDICALS</t>
  </si>
  <si>
    <t xml:space="preserve">OCT/ NOV </t>
  </si>
  <si>
    <t>FEB</t>
  </si>
  <si>
    <t>MAY</t>
  </si>
  <si>
    <t>AUG</t>
  </si>
  <si>
    <t>KITCHEN BAGUETTE</t>
  </si>
  <si>
    <t xml:space="preserve">MED PLAIN CROISSANTS FROZEN </t>
  </si>
  <si>
    <t>MINI STRAWBERRY TARTS</t>
  </si>
  <si>
    <t xml:space="preserve">MINI CHOCOLATE ALMOND </t>
  </si>
  <si>
    <t>VOL AU VENT - 5 CM width</t>
  </si>
  <si>
    <t>PITA BREAD</t>
  </si>
  <si>
    <t xml:space="preserve">MED ALMOND </t>
  </si>
  <si>
    <t xml:space="preserve">ÉCLAIR SHELL -5 CM LENGTH 1 CM WIDTH </t>
  </si>
  <si>
    <t xml:space="preserve">MED CHOCOLATE FROZEN </t>
  </si>
  <si>
    <t xml:space="preserve">STYLE BAR </t>
  </si>
  <si>
    <t xml:space="preserve">7 AM DELIVERY </t>
  </si>
  <si>
    <t>SUES</t>
  </si>
  <si>
    <t>POMONA</t>
  </si>
  <si>
    <t>TUESDAY 9 JUNE 2026</t>
  </si>
  <si>
    <t>ELENI</t>
  </si>
  <si>
    <t xml:space="preserve">ELENI </t>
  </si>
  <si>
    <t>24 PROFITEROLES</t>
  </si>
  <si>
    <t xml:space="preserve">MED CHOCOLATE CROISSANTS FROZEN </t>
  </si>
  <si>
    <t>INDIMA</t>
  </si>
  <si>
    <t xml:space="preserve">MAIZE AND MINGLE </t>
  </si>
  <si>
    <t xml:space="preserve">AMANZI </t>
  </si>
  <si>
    <t xml:space="preserve">RIDGEWAY </t>
  </si>
  <si>
    <t xml:space="preserve">FROZEN PLAIN CROISSANTS </t>
  </si>
  <si>
    <t xml:space="preserve">MRS NARAN </t>
  </si>
  <si>
    <t>FROZEN MINI PLAIN CROISSANTS</t>
  </si>
  <si>
    <t>24 FROZEN MINI CROISSANTS</t>
  </si>
  <si>
    <t xml:space="preserve">7 AM HP </t>
  </si>
  <si>
    <t xml:space="preserve">CHOCOLATE TART </t>
  </si>
  <si>
    <t xml:space="preserve">ITEM </t>
  </si>
  <si>
    <t xml:space="preserve">TIME /PLACE </t>
  </si>
  <si>
    <t xml:space="preserve">MED PLAIN CROISSANTS </t>
  </si>
  <si>
    <t xml:space="preserve">ALMOND CROISSANTS  </t>
  </si>
  <si>
    <t xml:space="preserve">MED ALMOND CROISSANTS </t>
  </si>
  <si>
    <t xml:space="preserve">MED CHOCOLATE ALMOND CROISSANTS </t>
  </si>
  <si>
    <t xml:space="preserve">BREAD ROLLS-60 G </t>
  </si>
  <si>
    <t xml:space="preserve">MINI CHOCOLATE CROISSANTS </t>
  </si>
  <si>
    <t xml:space="preserve">MINI ALMOND CROISSANTS </t>
  </si>
  <si>
    <t xml:space="preserve">LARGE LEMON MERINGUE   </t>
  </si>
  <si>
    <t>CHOCOLATE TARTS</t>
  </si>
  <si>
    <t xml:space="preserve">MINI CHOCOLATE ECLAIRS- HALF SIZE OF NORMAL </t>
  </si>
  <si>
    <t xml:space="preserve">SANDWICH LOAF </t>
  </si>
  <si>
    <t xml:space="preserve">CHEESECAKE BAKED </t>
  </si>
  <si>
    <t>MACAROONS - COFFEE</t>
  </si>
  <si>
    <t>TUILE AUX AMANDES</t>
  </si>
  <si>
    <t xml:space="preserve">MINI  PLAIN CROISSANTS </t>
  </si>
  <si>
    <t xml:space="preserve">MED CHOCOLATE CROISSANTS  </t>
  </si>
  <si>
    <t>BRIOCHE TETE</t>
  </si>
  <si>
    <t>CROQUEMBUCHE TOWER</t>
  </si>
  <si>
    <t>SUE</t>
  </si>
  <si>
    <t>MACAROONS- YELLOW</t>
  </si>
  <si>
    <t>THURSDAY 23 JULY 2026</t>
  </si>
  <si>
    <t>MILLIE FUILLE BY 10 PEOPLE</t>
  </si>
  <si>
    <t xml:space="preserve">4 CHEESE PIES </t>
  </si>
  <si>
    <t xml:space="preserve">MR MARTIN </t>
  </si>
  <si>
    <t xml:space="preserve">1 WHEAT SOURDOUGH - DO NOT SLICE </t>
  </si>
  <si>
    <t>7 AM HP</t>
  </si>
  <si>
    <t xml:space="preserve">CAROLINE </t>
  </si>
  <si>
    <t xml:space="preserve">3 MILLE FUILLE </t>
  </si>
  <si>
    <t>12 PM CHURCHILL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</si>
</sst>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</font>
    <font>
      <b/>
      <sz val="24"/>
      <color rgb="FF000000"/>
      <name val="Calibri"/>
      <family val="2"/>
    </font>
    <font>
      <b/>
      <sz val="26"/>
      <color rgb="FF000000"/>
      <name val="Calibri"/>
      <family val="2"/>
    </font>
    <font>
      <b/>
      <sz val="24"/>
      <name val="Calibri"/>
      <family val="2"/>
    </font>
    <font>
      <b/>
      <sz val="28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8"/>
      <color rgb="FF000000"/>
      <name val="Calibri"/>
      <family val="2"/>
    </font>
    <font>
      <b/>
      <sz val="16"/>
      <color rgb="FF000000"/>
      <name val="Calibri"/>
      <family val="2"/>
    </font>
    <font>
      <sz val="8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B1C5E7"/>
        <bgColor rgb="FF000000"/>
      </patternFill>
    </fill>
    <fill>
      <patternFill patternType="solid">
        <fgColor rgb="FFD4DAE4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5D3FF"/>
        <bgColor rgb="FF000000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4" tint="-0.249977111117893"/>
        <bgColor rgb="FF000000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6" borderId="0" xfId="0" applyFont="1" applyFill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5" borderId="0" xfId="0" applyFont="1" applyFill="1"/>
    <xf numFmtId="0" fontId="1" fillId="0" borderId="0" xfId="0" applyFont="1"/>
    <xf numFmtId="0" fontId="1" fillId="6" borderId="1" xfId="0" applyFont="1" applyFill="1" applyBorder="1"/>
    <xf numFmtId="0" fontId="1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/>
    <xf numFmtId="0" fontId="1" fillId="7" borderId="1" xfId="0" applyFont="1" applyFill="1" applyBorder="1"/>
    <xf numFmtId="0" fontId="1" fillId="0" borderId="1" xfId="0" applyFont="1" applyBorder="1"/>
    <xf numFmtId="0" fontId="1" fillId="3" borderId="1" xfId="0" applyFont="1" applyFill="1" applyBorder="1" applyAlignment="1">
      <alignment textRotation="45"/>
    </xf>
    <xf numFmtId="0" fontId="1" fillId="6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textRotation="45"/>
    </xf>
    <xf numFmtId="0" fontId="1" fillId="3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/>
    </xf>
    <xf numFmtId="0" fontId="1" fillId="10" borderId="1" xfId="0" applyFont="1" applyFill="1" applyBorder="1"/>
    <xf numFmtId="0" fontId="1" fillId="9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6" fillId="0" borderId="1" xfId="0" applyFont="1" applyBorder="1"/>
    <xf numFmtId="0" fontId="6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6" fillId="0" borderId="7" xfId="0" applyFont="1" applyBorder="1"/>
    <xf numFmtId="0" fontId="5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5" fillId="0" borderId="11" xfId="0" applyFont="1" applyBorder="1"/>
    <xf numFmtId="0" fontId="5" fillId="0" borderId="4" xfId="0" applyFont="1" applyBorder="1"/>
    <xf numFmtId="0" fontId="5" fillId="0" borderId="6" xfId="0" applyFont="1" applyBorder="1"/>
    <xf numFmtId="0" fontId="1" fillId="11" borderId="1" xfId="0" applyFont="1" applyFill="1" applyBorder="1" applyAlignment="1">
      <alignment textRotation="45"/>
    </xf>
    <xf numFmtId="0" fontId="2" fillId="2" borderId="3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 wrapText="1"/>
    </xf>
    <xf numFmtId="0" fontId="1" fillId="9" borderId="10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3" fillId="8" borderId="1" xfId="0" applyFont="1" applyFill="1" applyBorder="1" applyAlignment="1">
      <alignment horizontal="center" vertical="center" wrapText="1"/>
    </xf>
    <xf numFmtId="18" fontId="1" fillId="9" borderId="1" xfId="0" applyNumberFormat="1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8" fillId="0" borderId="15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1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43E1C-4A5B-48CC-AED4-D01B0AC5FD7C}">
  <sheetPr>
    <pageSetUpPr fitToPage="1"/>
  </sheetPr>
  <dimension ref="A1:AH121"/>
  <sheetViews>
    <sheetView zoomScale="47" zoomScaleNormal="47" workbookViewId="0">
      <selection activeCell="X64" sqref="X64"/>
    </sheetView>
  </sheetViews>
  <sheetFormatPr defaultColWidth="11.88671875" defaultRowHeight="31.2" x14ac:dyDescent="0.6"/>
  <cols>
    <col min="1" max="1" width="11.88671875" style="2"/>
    <col min="2" max="2" width="75.109375" style="3" customWidth="1"/>
    <col min="3" max="15" width="10.6640625" style="3" customWidth="1"/>
    <col min="16" max="16" width="27" style="5" customWidth="1"/>
    <col min="17" max="17" width="17.5546875" style="5" customWidth="1"/>
    <col min="18" max="16384" width="11.88671875" style="5"/>
  </cols>
  <sheetData>
    <row r="1" spans="1:34" x14ac:dyDescent="0.6">
      <c r="B1" s="2"/>
      <c r="C1" s="2"/>
      <c r="P1" s="4"/>
    </row>
    <row r="2" spans="1:34" ht="64.2" customHeight="1" x14ac:dyDescent="0.7">
      <c r="A2" s="47" t="s">
        <v>120</v>
      </c>
      <c r="B2" s="47"/>
      <c r="P2" s="4"/>
    </row>
    <row r="3" spans="1:34" ht="201.6" customHeight="1" x14ac:dyDescent="0.6">
      <c r="A3" s="12"/>
      <c r="B3" s="6" t="s">
        <v>33</v>
      </c>
      <c r="C3" s="31" t="s">
        <v>11</v>
      </c>
      <c r="D3" s="31" t="s">
        <v>41</v>
      </c>
      <c r="E3" s="31" t="s">
        <v>34</v>
      </c>
      <c r="F3" s="31" t="s">
        <v>35</v>
      </c>
      <c r="G3" s="31" t="s">
        <v>127</v>
      </c>
      <c r="H3" s="31" t="s">
        <v>119</v>
      </c>
      <c r="I3" s="31" t="s">
        <v>130</v>
      </c>
      <c r="J3" s="31" t="s">
        <v>116</v>
      </c>
      <c r="K3" s="31" t="s">
        <v>125</v>
      </c>
      <c r="L3" s="31" t="s">
        <v>118</v>
      </c>
      <c r="M3" s="31" t="s">
        <v>126</v>
      </c>
      <c r="N3" s="31" t="s">
        <v>128</v>
      </c>
      <c r="O3" s="31" t="s">
        <v>121</v>
      </c>
      <c r="P3" s="14" t="s">
        <v>18</v>
      </c>
      <c r="Q3" s="4"/>
    </row>
    <row r="4" spans="1:34" ht="31.5" customHeight="1" x14ac:dyDescent="0.6">
      <c r="A4" s="7">
        <f t="shared" ref="A4:A69" si="0">P4</f>
        <v>126</v>
      </c>
      <c r="B4" s="8" t="s">
        <v>26</v>
      </c>
      <c r="C4" s="9">
        <v>35</v>
      </c>
      <c r="D4" s="9">
        <v>6</v>
      </c>
      <c r="E4" s="9">
        <v>28</v>
      </c>
      <c r="F4" s="9">
        <v>3</v>
      </c>
      <c r="G4" s="9"/>
      <c r="H4" s="9"/>
      <c r="I4" s="9"/>
      <c r="J4" s="9">
        <v>6</v>
      </c>
      <c r="K4" s="9">
        <v>40</v>
      </c>
      <c r="L4" s="9"/>
      <c r="M4" s="9">
        <v>8</v>
      </c>
      <c r="N4" s="9"/>
      <c r="O4" s="9"/>
      <c r="P4" s="10">
        <f>SUM(C4:O4)</f>
        <v>126</v>
      </c>
      <c r="AH4" s="5" t="s">
        <v>42</v>
      </c>
    </row>
    <row r="5" spans="1:34" ht="31.5" customHeight="1" x14ac:dyDescent="0.6">
      <c r="A5" s="7">
        <f t="shared" si="0"/>
        <v>12</v>
      </c>
      <c r="B5" s="8" t="s">
        <v>85</v>
      </c>
      <c r="C5" s="9"/>
      <c r="D5" s="9">
        <v>8</v>
      </c>
      <c r="E5" s="9"/>
      <c r="F5" s="9">
        <v>4</v>
      </c>
      <c r="G5" s="9"/>
      <c r="H5" s="9"/>
      <c r="I5" s="9"/>
      <c r="J5" s="9"/>
      <c r="K5" s="9"/>
      <c r="L5" s="9"/>
      <c r="M5" s="9"/>
      <c r="N5" s="9"/>
      <c r="O5" s="9"/>
      <c r="P5" s="10">
        <f>SUM(C5:O5)</f>
        <v>12</v>
      </c>
    </row>
    <row r="6" spans="1:34" ht="31.5" customHeight="1" x14ac:dyDescent="0.6">
      <c r="A6" s="7">
        <f t="shared" si="0"/>
        <v>24</v>
      </c>
      <c r="B6" s="8" t="s">
        <v>131</v>
      </c>
      <c r="C6" s="9"/>
      <c r="D6" s="9"/>
      <c r="E6" s="9"/>
      <c r="F6" s="9"/>
      <c r="G6" s="9"/>
      <c r="H6" s="9"/>
      <c r="I6" s="9">
        <v>24</v>
      </c>
      <c r="J6" s="9"/>
      <c r="K6" s="9"/>
      <c r="L6" s="9"/>
      <c r="M6" s="9"/>
      <c r="N6" s="9"/>
      <c r="O6" s="9"/>
      <c r="P6" s="10">
        <f t="shared" ref="P6:P7" si="1">SUM(C6:O6)</f>
        <v>24</v>
      </c>
    </row>
    <row r="7" spans="1:34" ht="33.6" customHeight="1" x14ac:dyDescent="0.6">
      <c r="A7" s="7">
        <f t="shared" si="0"/>
        <v>20</v>
      </c>
      <c r="B7" s="8" t="s">
        <v>129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>
        <v>20</v>
      </c>
      <c r="O7" s="9"/>
      <c r="P7" s="10">
        <f t="shared" si="1"/>
        <v>20</v>
      </c>
    </row>
    <row r="8" spans="1:34" ht="31.2" customHeight="1" x14ac:dyDescent="0.6">
      <c r="A8" s="7">
        <f t="shared" si="0"/>
        <v>100</v>
      </c>
      <c r="B8" s="8" t="s">
        <v>108</v>
      </c>
      <c r="C8" s="9"/>
      <c r="D8" s="9"/>
      <c r="E8" s="9"/>
      <c r="F8" s="9"/>
      <c r="G8" s="9">
        <v>100</v>
      </c>
      <c r="H8" s="9"/>
      <c r="I8" s="9"/>
      <c r="J8" s="9"/>
      <c r="K8" s="9"/>
      <c r="L8" s="9"/>
      <c r="M8" s="9"/>
      <c r="N8" s="9"/>
      <c r="O8" s="9"/>
      <c r="P8" s="10">
        <f t="shared" ref="P8:P35" si="2">SUM(C8:O8)</f>
        <v>100</v>
      </c>
    </row>
    <row r="9" spans="1:34" ht="31.5" hidden="1" customHeight="1" x14ac:dyDescent="0.6">
      <c r="A9" s="7">
        <f t="shared" si="0"/>
        <v>0</v>
      </c>
      <c r="B9" s="8" t="s">
        <v>108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10">
        <f t="shared" si="2"/>
        <v>0</v>
      </c>
    </row>
    <row r="10" spans="1:34" ht="32.4" customHeight="1" x14ac:dyDescent="0.6">
      <c r="A10" s="7">
        <f t="shared" si="0"/>
        <v>30</v>
      </c>
      <c r="B10" s="9" t="s">
        <v>25</v>
      </c>
      <c r="C10" s="9">
        <v>14</v>
      </c>
      <c r="D10" s="9"/>
      <c r="E10" s="9">
        <v>12</v>
      </c>
      <c r="F10" s="9"/>
      <c r="G10" s="9"/>
      <c r="H10" s="9"/>
      <c r="I10" s="9"/>
      <c r="J10" s="9"/>
      <c r="K10" s="9"/>
      <c r="L10" s="9"/>
      <c r="M10" s="9">
        <v>4</v>
      </c>
      <c r="N10" s="9"/>
      <c r="O10" s="9"/>
      <c r="P10" s="10">
        <f t="shared" si="2"/>
        <v>30</v>
      </c>
    </row>
    <row r="11" spans="1:34" ht="31.2" hidden="1" customHeight="1" x14ac:dyDescent="0.6">
      <c r="A11" s="7">
        <f t="shared" si="0"/>
        <v>0</v>
      </c>
      <c r="B11" s="9" t="s">
        <v>124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10">
        <f t="shared" si="2"/>
        <v>0</v>
      </c>
    </row>
    <row r="12" spans="1:34" ht="31.2" hidden="1" customHeight="1" x14ac:dyDescent="0.6">
      <c r="A12" s="7">
        <f t="shared" si="0"/>
        <v>0</v>
      </c>
      <c r="B12" s="9" t="s">
        <v>115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10">
        <f t="shared" si="2"/>
        <v>0</v>
      </c>
    </row>
    <row r="13" spans="1:34" ht="31.5" customHeight="1" x14ac:dyDescent="0.6">
      <c r="A13" s="7">
        <f t="shared" si="0"/>
        <v>24</v>
      </c>
      <c r="B13" s="9" t="s">
        <v>37</v>
      </c>
      <c r="C13" s="9">
        <v>12</v>
      </c>
      <c r="D13" s="9"/>
      <c r="E13" s="9">
        <v>12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10">
        <f t="shared" si="2"/>
        <v>24</v>
      </c>
    </row>
    <row r="14" spans="1:34" ht="31.5" hidden="1" customHeight="1" x14ac:dyDescent="0.6">
      <c r="A14" s="7">
        <f t="shared" si="0"/>
        <v>0</v>
      </c>
      <c r="B14" s="9" t="s">
        <v>110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10">
        <f t="shared" si="2"/>
        <v>0</v>
      </c>
    </row>
    <row r="15" spans="1:34" ht="30" customHeight="1" x14ac:dyDescent="0.6">
      <c r="A15" s="7">
        <f t="shared" si="0"/>
        <v>30</v>
      </c>
      <c r="B15" s="9" t="s">
        <v>3</v>
      </c>
      <c r="C15" s="9">
        <v>14</v>
      </c>
      <c r="D15" s="9"/>
      <c r="E15" s="9">
        <v>12</v>
      </c>
      <c r="F15" s="9"/>
      <c r="G15" s="9"/>
      <c r="H15" s="9"/>
      <c r="I15" s="9"/>
      <c r="J15" s="9"/>
      <c r="K15" s="9"/>
      <c r="L15" s="9"/>
      <c r="M15" s="9">
        <v>4</v>
      </c>
      <c r="N15" s="9"/>
      <c r="O15" s="9"/>
      <c r="P15" s="10">
        <f t="shared" si="2"/>
        <v>30</v>
      </c>
    </row>
    <row r="16" spans="1:34" ht="30" hidden="1" customHeight="1" x14ac:dyDescent="0.6">
      <c r="A16" s="7">
        <f t="shared" si="0"/>
        <v>0</v>
      </c>
      <c r="B16" s="9" t="s">
        <v>113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10">
        <f t="shared" si="2"/>
        <v>0</v>
      </c>
    </row>
    <row r="17" spans="1:16" ht="31.5" customHeight="1" x14ac:dyDescent="0.6">
      <c r="A17" s="7">
        <f t="shared" si="0"/>
        <v>11</v>
      </c>
      <c r="B17" s="9" t="s">
        <v>29</v>
      </c>
      <c r="C17" s="9">
        <v>6</v>
      </c>
      <c r="D17" s="9"/>
      <c r="E17" s="9">
        <v>5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10">
        <f t="shared" si="2"/>
        <v>11</v>
      </c>
    </row>
    <row r="18" spans="1:16" ht="31.2" hidden="1" customHeight="1" x14ac:dyDescent="0.6">
      <c r="A18" s="7">
        <f t="shared" si="0"/>
        <v>0</v>
      </c>
      <c r="B18" s="9" t="s">
        <v>74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10">
        <f t="shared" si="2"/>
        <v>0</v>
      </c>
    </row>
    <row r="19" spans="1:16" x14ac:dyDescent="0.6">
      <c r="A19" s="7">
        <f t="shared" si="0"/>
        <v>5</v>
      </c>
      <c r="B19" s="9" t="s">
        <v>44</v>
      </c>
      <c r="C19" s="9">
        <v>3</v>
      </c>
      <c r="D19" s="9"/>
      <c r="E19" s="9">
        <v>2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10">
        <f t="shared" si="2"/>
        <v>5</v>
      </c>
    </row>
    <row r="20" spans="1:16" x14ac:dyDescent="0.6">
      <c r="A20" s="7">
        <f t="shared" si="0"/>
        <v>4</v>
      </c>
      <c r="B20" s="9" t="s">
        <v>21</v>
      </c>
      <c r="C20" s="9"/>
      <c r="D20" s="9"/>
      <c r="E20" s="9">
        <v>4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10">
        <f t="shared" si="2"/>
        <v>4</v>
      </c>
    </row>
    <row r="21" spans="1:16" x14ac:dyDescent="0.6">
      <c r="A21" s="7">
        <f t="shared" si="0"/>
        <v>10</v>
      </c>
      <c r="B21" s="9" t="s">
        <v>4</v>
      </c>
      <c r="C21" s="9">
        <v>5</v>
      </c>
      <c r="D21" s="9"/>
      <c r="E21" s="9">
        <v>5</v>
      </c>
      <c r="F21" s="9"/>
      <c r="G21" s="9"/>
      <c r="H21" s="9"/>
      <c r="I21" s="9"/>
      <c r="J21" s="9"/>
      <c r="K21" s="9"/>
      <c r="L21" s="9"/>
      <c r="M21" s="9"/>
      <c r="N21" s="9"/>
      <c r="O21" s="9"/>
      <c r="P21" s="10">
        <f t="shared" si="2"/>
        <v>10</v>
      </c>
    </row>
    <row r="22" spans="1:16" x14ac:dyDescent="0.6">
      <c r="A22" s="7">
        <f t="shared" si="0"/>
        <v>8</v>
      </c>
      <c r="B22" s="9" t="s">
        <v>36</v>
      </c>
      <c r="C22" s="9">
        <v>4</v>
      </c>
      <c r="D22" s="9"/>
      <c r="E22" s="9">
        <v>4</v>
      </c>
      <c r="F22" s="9"/>
      <c r="G22" s="9"/>
      <c r="H22" s="9"/>
      <c r="I22" s="9"/>
      <c r="J22" s="9"/>
      <c r="K22" s="9"/>
      <c r="L22" s="9"/>
      <c r="M22" s="9"/>
      <c r="N22" s="9"/>
      <c r="O22" s="9"/>
      <c r="P22" s="10">
        <f t="shared" si="2"/>
        <v>8</v>
      </c>
    </row>
    <row r="23" spans="1:16" x14ac:dyDescent="0.6">
      <c r="A23" s="7">
        <f t="shared" si="0"/>
        <v>20</v>
      </c>
      <c r="B23" s="9" t="s">
        <v>45</v>
      </c>
      <c r="C23" s="9">
        <v>10</v>
      </c>
      <c r="D23" s="9"/>
      <c r="E23" s="9">
        <v>10</v>
      </c>
      <c r="F23" s="9"/>
      <c r="G23" s="9"/>
      <c r="H23" s="9"/>
      <c r="I23" s="9"/>
      <c r="J23" s="9"/>
      <c r="K23" s="9"/>
      <c r="L23" s="9"/>
      <c r="M23" s="9"/>
      <c r="N23" s="9"/>
      <c r="O23" s="9"/>
      <c r="P23" s="10">
        <f t="shared" si="2"/>
        <v>20</v>
      </c>
    </row>
    <row r="24" spans="1:16" x14ac:dyDescent="0.6">
      <c r="A24" s="7">
        <f t="shared" si="0"/>
        <v>22</v>
      </c>
      <c r="B24" s="9" t="s">
        <v>61</v>
      </c>
      <c r="C24" s="9">
        <v>12</v>
      </c>
      <c r="D24" s="9"/>
      <c r="E24" s="9">
        <v>10</v>
      </c>
      <c r="F24" s="9"/>
      <c r="G24" s="9"/>
      <c r="H24" s="9"/>
      <c r="I24" s="9"/>
      <c r="J24" s="9"/>
      <c r="K24" s="9"/>
      <c r="L24" s="9"/>
      <c r="M24" s="9"/>
      <c r="N24" s="9"/>
      <c r="O24" s="9"/>
      <c r="P24" s="10">
        <f t="shared" si="2"/>
        <v>22</v>
      </c>
    </row>
    <row r="25" spans="1:16" hidden="1" x14ac:dyDescent="0.6">
      <c r="A25" s="7">
        <f t="shared" si="0"/>
        <v>0</v>
      </c>
      <c r="B25" s="9" t="s">
        <v>48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10">
        <f t="shared" si="2"/>
        <v>0</v>
      </c>
    </row>
    <row r="26" spans="1:16" hidden="1" x14ac:dyDescent="0.6">
      <c r="A26" s="7">
        <f t="shared" si="0"/>
        <v>0</v>
      </c>
      <c r="B26" s="9" t="s">
        <v>62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10">
        <f t="shared" si="2"/>
        <v>0</v>
      </c>
    </row>
    <row r="27" spans="1:16" hidden="1" x14ac:dyDescent="0.6">
      <c r="A27" s="7">
        <f t="shared" si="0"/>
        <v>0</v>
      </c>
      <c r="B27" s="9" t="s">
        <v>79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10">
        <f t="shared" si="2"/>
        <v>0</v>
      </c>
    </row>
    <row r="28" spans="1:16" hidden="1" x14ac:dyDescent="0.6">
      <c r="A28" s="7">
        <f t="shared" si="0"/>
        <v>0</v>
      </c>
      <c r="B28" s="9" t="s">
        <v>82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10">
        <f t="shared" si="2"/>
        <v>0</v>
      </c>
    </row>
    <row r="29" spans="1:16" x14ac:dyDescent="0.6">
      <c r="A29" s="7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10">
        <f t="shared" si="2"/>
        <v>0</v>
      </c>
    </row>
    <row r="30" spans="1:16" x14ac:dyDescent="0.6">
      <c r="A30" s="7">
        <f t="shared" si="0"/>
        <v>42</v>
      </c>
      <c r="B30" s="9" t="s">
        <v>2</v>
      </c>
      <c r="C30" s="9">
        <v>12</v>
      </c>
      <c r="D30" s="9"/>
      <c r="E30" s="9">
        <v>12</v>
      </c>
      <c r="F30" s="9"/>
      <c r="G30" s="9"/>
      <c r="H30" s="9">
        <v>8</v>
      </c>
      <c r="I30" s="9"/>
      <c r="J30" s="9"/>
      <c r="K30" s="9"/>
      <c r="L30" s="9">
        <v>10</v>
      </c>
      <c r="M30" s="9"/>
      <c r="N30" s="9"/>
      <c r="O30" s="9"/>
      <c r="P30" s="10">
        <f t="shared" si="2"/>
        <v>42</v>
      </c>
    </row>
    <row r="31" spans="1:16" x14ac:dyDescent="0.6">
      <c r="A31" s="7">
        <f t="shared" si="0"/>
        <v>10</v>
      </c>
      <c r="B31" s="9" t="s">
        <v>107</v>
      </c>
      <c r="C31" s="9"/>
      <c r="D31" s="9">
        <v>10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10">
        <f t="shared" si="2"/>
        <v>10</v>
      </c>
    </row>
    <row r="32" spans="1:16" x14ac:dyDescent="0.6">
      <c r="A32" s="7">
        <f t="shared" si="0"/>
        <v>14</v>
      </c>
      <c r="B32" s="9" t="s">
        <v>19</v>
      </c>
      <c r="C32" s="9">
        <v>7</v>
      </c>
      <c r="D32" s="9"/>
      <c r="E32" s="9">
        <v>7</v>
      </c>
      <c r="F32" s="9"/>
      <c r="G32" s="9"/>
      <c r="H32" s="9"/>
      <c r="I32" s="9"/>
      <c r="J32" s="9"/>
      <c r="K32" s="9"/>
      <c r="L32" s="9"/>
      <c r="M32" s="9"/>
      <c r="N32" s="9"/>
      <c r="O32" s="9"/>
      <c r="P32" s="10">
        <f t="shared" si="2"/>
        <v>14</v>
      </c>
    </row>
    <row r="33" spans="1:16" x14ac:dyDescent="0.6">
      <c r="A33" s="7">
        <f t="shared" si="0"/>
        <v>12</v>
      </c>
      <c r="B33" s="9" t="s">
        <v>0</v>
      </c>
      <c r="C33" s="9">
        <v>7</v>
      </c>
      <c r="D33" s="9"/>
      <c r="E33" s="9">
        <v>5</v>
      </c>
      <c r="F33" s="9"/>
      <c r="G33" s="9"/>
      <c r="H33" s="9"/>
      <c r="I33" s="9"/>
      <c r="J33" s="9"/>
      <c r="K33" s="9"/>
      <c r="L33" s="9"/>
      <c r="M33" s="9"/>
      <c r="N33" s="9"/>
      <c r="O33" s="9"/>
      <c r="P33" s="10">
        <f t="shared" si="2"/>
        <v>12</v>
      </c>
    </row>
    <row r="34" spans="1:16" x14ac:dyDescent="0.6">
      <c r="A34" s="7">
        <f t="shared" si="0"/>
        <v>9</v>
      </c>
      <c r="B34" s="9" t="s">
        <v>52</v>
      </c>
      <c r="C34" s="9">
        <v>4</v>
      </c>
      <c r="D34" s="9"/>
      <c r="E34" s="9">
        <v>5</v>
      </c>
      <c r="F34" s="9"/>
      <c r="G34" s="9"/>
      <c r="H34" s="9"/>
      <c r="I34" s="9"/>
      <c r="J34" s="9"/>
      <c r="K34" s="9"/>
      <c r="L34" s="9"/>
      <c r="M34" s="9"/>
      <c r="N34" s="9"/>
      <c r="O34" s="9"/>
      <c r="P34" s="10">
        <f t="shared" si="2"/>
        <v>9</v>
      </c>
    </row>
    <row r="35" spans="1:16" ht="37.799999999999997" customHeight="1" x14ac:dyDescent="0.6">
      <c r="A35" s="7">
        <f t="shared" si="0"/>
        <v>3</v>
      </c>
      <c r="B35" s="9" t="s">
        <v>1</v>
      </c>
      <c r="C35" s="9">
        <v>1</v>
      </c>
      <c r="D35" s="9"/>
      <c r="E35" s="9">
        <v>2</v>
      </c>
      <c r="F35" s="9"/>
      <c r="G35" s="9"/>
      <c r="H35" s="9"/>
      <c r="I35" s="9"/>
      <c r="J35" s="9"/>
      <c r="K35" s="9"/>
      <c r="L35" s="9"/>
      <c r="M35" s="9"/>
      <c r="N35" s="9"/>
      <c r="O35" s="9"/>
      <c r="P35" s="10">
        <f t="shared" si="2"/>
        <v>3</v>
      </c>
    </row>
    <row r="36" spans="1:16" x14ac:dyDescent="0.6">
      <c r="A36" s="7">
        <f t="shared" si="0"/>
        <v>1</v>
      </c>
      <c r="B36" s="9" t="s">
        <v>20</v>
      </c>
      <c r="C36" s="9">
        <v>1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10">
        <f t="shared" ref="P36:P62" si="3">SUM(C36:O36)</f>
        <v>1</v>
      </c>
    </row>
    <row r="37" spans="1:16" hidden="1" x14ac:dyDescent="0.6">
      <c r="A37" s="7">
        <f t="shared" si="0"/>
        <v>0</v>
      </c>
      <c r="B37" s="9" t="s">
        <v>38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10">
        <f t="shared" si="3"/>
        <v>0</v>
      </c>
    </row>
    <row r="38" spans="1:16" hidden="1" x14ac:dyDescent="0.6">
      <c r="A38" s="7">
        <f t="shared" si="0"/>
        <v>0</v>
      </c>
      <c r="B38" s="9" t="s">
        <v>13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10">
        <f t="shared" si="3"/>
        <v>0</v>
      </c>
    </row>
    <row r="39" spans="1:16" hidden="1" x14ac:dyDescent="0.6">
      <c r="A39" s="7">
        <f t="shared" si="0"/>
        <v>0</v>
      </c>
      <c r="B39" s="9" t="s">
        <v>30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10">
        <f t="shared" si="3"/>
        <v>0</v>
      </c>
    </row>
    <row r="40" spans="1:16" hidden="1" x14ac:dyDescent="0.6">
      <c r="A40" s="7">
        <f t="shared" si="0"/>
        <v>0</v>
      </c>
      <c r="B40" s="9" t="s">
        <v>64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10">
        <f t="shared" si="3"/>
        <v>0</v>
      </c>
    </row>
    <row r="41" spans="1:16" x14ac:dyDescent="0.6">
      <c r="A41" s="7">
        <f t="shared" si="0"/>
        <v>1</v>
      </c>
      <c r="B41" s="9" t="s">
        <v>22</v>
      </c>
      <c r="C41" s="9">
        <v>1</v>
      </c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10">
        <f t="shared" si="3"/>
        <v>1</v>
      </c>
    </row>
    <row r="42" spans="1:16" x14ac:dyDescent="0.6">
      <c r="A42" s="7">
        <f t="shared" si="0"/>
        <v>1</v>
      </c>
      <c r="B42" s="9" t="s">
        <v>14</v>
      </c>
      <c r="C42" s="9">
        <v>1</v>
      </c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10">
        <f t="shared" si="3"/>
        <v>1</v>
      </c>
    </row>
    <row r="43" spans="1:16" x14ac:dyDescent="0.6">
      <c r="A43" s="7">
        <f t="shared" si="0"/>
        <v>6</v>
      </c>
      <c r="B43" s="9" t="s">
        <v>71</v>
      </c>
      <c r="C43" s="9"/>
      <c r="D43" s="9">
        <v>6</v>
      </c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10">
        <f t="shared" si="3"/>
        <v>6</v>
      </c>
    </row>
    <row r="44" spans="1:16" ht="33.6" hidden="1" customHeight="1" x14ac:dyDescent="0.6">
      <c r="A44" s="7">
        <f t="shared" si="0"/>
        <v>0</v>
      </c>
      <c r="B44" s="9" t="s">
        <v>90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10">
        <f t="shared" si="3"/>
        <v>0</v>
      </c>
    </row>
    <row r="45" spans="1:16" hidden="1" x14ac:dyDescent="0.6">
      <c r="A45" s="7">
        <f t="shared" si="0"/>
        <v>0</v>
      </c>
      <c r="B45" s="9" t="s">
        <v>72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10">
        <f t="shared" si="3"/>
        <v>0</v>
      </c>
    </row>
    <row r="46" spans="1:16" hidden="1" x14ac:dyDescent="0.6">
      <c r="A46" s="7">
        <f t="shared" si="0"/>
        <v>6</v>
      </c>
      <c r="B46" s="9" t="s">
        <v>73</v>
      </c>
      <c r="C46" s="9"/>
      <c r="D46" s="9">
        <v>6</v>
      </c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10">
        <f t="shared" si="3"/>
        <v>6</v>
      </c>
    </row>
    <row r="47" spans="1:16" hidden="1" x14ac:dyDescent="0.6">
      <c r="A47" s="7">
        <f t="shared" si="0"/>
        <v>0</v>
      </c>
      <c r="B47" s="9" t="s">
        <v>112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10">
        <f t="shared" si="3"/>
        <v>0</v>
      </c>
    </row>
    <row r="48" spans="1:16" x14ac:dyDescent="0.6">
      <c r="A48" s="7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10">
        <f t="shared" si="3"/>
        <v>0</v>
      </c>
    </row>
    <row r="49" spans="1:16" x14ac:dyDescent="0.6">
      <c r="A49" s="7">
        <f t="shared" si="0"/>
        <v>12</v>
      </c>
      <c r="B49" s="9" t="s">
        <v>12</v>
      </c>
      <c r="C49" s="9"/>
      <c r="D49" s="9"/>
      <c r="E49" s="9">
        <v>12</v>
      </c>
      <c r="F49" s="9"/>
      <c r="G49" s="9"/>
      <c r="H49" s="9"/>
      <c r="I49" s="9"/>
      <c r="J49" s="9"/>
      <c r="K49" s="9"/>
      <c r="L49" s="9"/>
      <c r="M49" s="9"/>
      <c r="N49" s="9"/>
      <c r="O49" s="9"/>
      <c r="P49" s="10">
        <f t="shared" si="3"/>
        <v>12</v>
      </c>
    </row>
    <row r="50" spans="1:16" x14ac:dyDescent="0.6">
      <c r="A50" s="7">
        <f t="shared" si="0"/>
        <v>12</v>
      </c>
      <c r="B50" s="9" t="s">
        <v>5</v>
      </c>
      <c r="C50" s="9"/>
      <c r="D50" s="9"/>
      <c r="E50" s="9">
        <v>12</v>
      </c>
      <c r="F50" s="9"/>
      <c r="G50" s="9"/>
      <c r="H50" s="9"/>
      <c r="I50" s="9"/>
      <c r="J50" s="9"/>
      <c r="K50" s="9"/>
      <c r="L50" s="9"/>
      <c r="M50" s="9"/>
      <c r="N50" s="9"/>
      <c r="O50" s="9"/>
      <c r="P50" s="10">
        <f t="shared" si="3"/>
        <v>12</v>
      </c>
    </row>
    <row r="51" spans="1:16" x14ac:dyDescent="0.6">
      <c r="A51" s="7">
        <f t="shared" si="0"/>
        <v>2</v>
      </c>
      <c r="B51" s="9" t="s">
        <v>53</v>
      </c>
      <c r="C51" s="9"/>
      <c r="D51" s="9"/>
      <c r="E51" s="9">
        <v>2</v>
      </c>
      <c r="F51" s="9"/>
      <c r="G51" s="9"/>
      <c r="H51" s="9"/>
      <c r="I51" s="9"/>
      <c r="J51" s="9"/>
      <c r="K51" s="9"/>
      <c r="L51" s="9"/>
      <c r="M51" s="9"/>
      <c r="N51" s="9"/>
      <c r="O51" s="9"/>
      <c r="P51" s="10">
        <f t="shared" si="3"/>
        <v>2</v>
      </c>
    </row>
    <row r="52" spans="1:16" x14ac:dyDescent="0.6">
      <c r="A52" s="7">
        <f t="shared" si="0"/>
        <v>1</v>
      </c>
      <c r="B52" s="9" t="s">
        <v>66</v>
      </c>
      <c r="C52" s="9"/>
      <c r="D52" s="9">
        <v>1</v>
      </c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10">
        <f t="shared" si="3"/>
        <v>1</v>
      </c>
    </row>
    <row r="53" spans="1:16" hidden="1" x14ac:dyDescent="0.6">
      <c r="A53" s="7">
        <f t="shared" si="0"/>
        <v>0</v>
      </c>
      <c r="B53" s="9" t="s">
        <v>43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10">
        <f t="shared" si="3"/>
        <v>0</v>
      </c>
    </row>
    <row r="54" spans="1:16" hidden="1" x14ac:dyDescent="0.6">
      <c r="A54" s="7">
        <f t="shared" si="0"/>
        <v>0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10">
        <f t="shared" si="3"/>
        <v>0</v>
      </c>
    </row>
    <row r="55" spans="1:16" hidden="1" x14ac:dyDescent="0.6">
      <c r="A55" s="7">
        <f t="shared" si="0"/>
        <v>0</v>
      </c>
      <c r="B55" s="9" t="s">
        <v>68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10">
        <f t="shared" si="3"/>
        <v>0</v>
      </c>
    </row>
    <row r="56" spans="1:16" hidden="1" x14ac:dyDescent="0.6">
      <c r="A56" s="7">
        <f t="shared" si="0"/>
        <v>0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10">
        <f t="shared" si="3"/>
        <v>0</v>
      </c>
    </row>
    <row r="57" spans="1:16" hidden="1" x14ac:dyDescent="0.6">
      <c r="A57" s="7">
        <f t="shared" si="0"/>
        <v>0</v>
      </c>
      <c r="B57" s="9" t="s">
        <v>69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10">
        <f t="shared" si="3"/>
        <v>0</v>
      </c>
    </row>
    <row r="58" spans="1:16" hidden="1" x14ac:dyDescent="0.6">
      <c r="A58" s="7">
        <f t="shared" si="0"/>
        <v>0</v>
      </c>
      <c r="B58" s="9" t="s">
        <v>70</v>
      </c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10">
        <f t="shared" si="3"/>
        <v>0</v>
      </c>
    </row>
    <row r="59" spans="1:16" x14ac:dyDescent="0.6">
      <c r="A59" s="7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10">
        <f t="shared" si="3"/>
        <v>0</v>
      </c>
    </row>
    <row r="60" spans="1:16" x14ac:dyDescent="0.6">
      <c r="A60" s="7">
        <f t="shared" si="0"/>
        <v>114</v>
      </c>
      <c r="B60" s="9" t="s">
        <v>6</v>
      </c>
      <c r="C60" s="9">
        <v>60</v>
      </c>
      <c r="D60" s="9"/>
      <c r="E60" s="9">
        <v>30</v>
      </c>
      <c r="F60" s="9"/>
      <c r="G60" s="9"/>
      <c r="H60" s="9"/>
      <c r="I60" s="9"/>
      <c r="J60" s="9"/>
      <c r="K60" s="9"/>
      <c r="L60" s="9"/>
      <c r="M60" s="9"/>
      <c r="N60" s="9"/>
      <c r="O60" s="9">
        <v>24</v>
      </c>
      <c r="P60" s="10">
        <f t="shared" si="3"/>
        <v>114</v>
      </c>
    </row>
    <row r="61" spans="1:16" hidden="1" x14ac:dyDescent="0.6">
      <c r="A61" s="7">
        <f t="shared" si="0"/>
        <v>0</v>
      </c>
      <c r="B61" s="9" t="s">
        <v>47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10">
        <f t="shared" si="3"/>
        <v>0</v>
      </c>
    </row>
    <row r="62" spans="1:16" x14ac:dyDescent="0.6">
      <c r="A62" s="7">
        <f t="shared" si="0"/>
        <v>2</v>
      </c>
      <c r="B62" s="9" t="s">
        <v>7</v>
      </c>
      <c r="C62" s="9">
        <v>2</v>
      </c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10">
        <f t="shared" si="3"/>
        <v>2</v>
      </c>
    </row>
    <row r="63" spans="1:16" hidden="1" x14ac:dyDescent="0.6">
      <c r="A63" s="7">
        <f t="shared" si="0"/>
        <v>0</v>
      </c>
      <c r="B63" s="9" t="s">
        <v>32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10">
        <f t="shared" ref="P63:P75" si="4">SUM(C63:O63)</f>
        <v>0</v>
      </c>
    </row>
    <row r="64" spans="1:16" x14ac:dyDescent="0.6">
      <c r="A64" s="7">
        <f t="shared" si="0"/>
        <v>2</v>
      </c>
      <c r="B64" s="9" t="s">
        <v>31</v>
      </c>
      <c r="C64" s="9"/>
      <c r="D64" s="9"/>
      <c r="E64" s="9">
        <v>2</v>
      </c>
      <c r="F64" s="9"/>
      <c r="G64" s="9"/>
      <c r="H64" s="9"/>
      <c r="I64" s="9"/>
      <c r="J64" s="9"/>
      <c r="K64" s="9"/>
      <c r="L64" s="9"/>
      <c r="M64" s="9"/>
      <c r="N64" s="9"/>
      <c r="O64" s="9"/>
      <c r="P64" s="10">
        <f t="shared" si="4"/>
        <v>2</v>
      </c>
    </row>
    <row r="65" spans="1:16" x14ac:dyDescent="0.6">
      <c r="A65" s="7">
        <f t="shared" si="0"/>
        <v>2</v>
      </c>
      <c r="B65" s="9" t="s">
        <v>63</v>
      </c>
      <c r="C65" s="9"/>
      <c r="D65" s="9"/>
      <c r="E65" s="9">
        <v>2</v>
      </c>
      <c r="F65" s="9"/>
      <c r="G65" s="9"/>
      <c r="H65" s="9"/>
      <c r="I65" s="9"/>
      <c r="J65" s="9"/>
      <c r="K65" s="9"/>
      <c r="L65" s="9"/>
      <c r="M65" s="9"/>
      <c r="N65" s="9"/>
      <c r="O65" s="9"/>
      <c r="P65" s="10">
        <f t="shared" si="4"/>
        <v>2</v>
      </c>
    </row>
    <row r="66" spans="1:16" hidden="1" x14ac:dyDescent="0.6">
      <c r="A66" s="7">
        <f t="shared" si="0"/>
        <v>0</v>
      </c>
      <c r="B66" s="9" t="s">
        <v>54</v>
      </c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10">
        <f t="shared" si="4"/>
        <v>0</v>
      </c>
    </row>
    <row r="67" spans="1:16" hidden="1" x14ac:dyDescent="0.6">
      <c r="A67" s="7">
        <f t="shared" si="0"/>
        <v>0</v>
      </c>
      <c r="B67" s="9" t="s">
        <v>114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10">
        <f t="shared" si="4"/>
        <v>0</v>
      </c>
    </row>
    <row r="68" spans="1:16" x14ac:dyDescent="0.6">
      <c r="A68" s="7">
        <f t="shared" si="0"/>
        <v>12</v>
      </c>
      <c r="B68" s="9" t="s">
        <v>8</v>
      </c>
      <c r="C68" s="9">
        <v>6</v>
      </c>
      <c r="D68" s="9"/>
      <c r="E68" s="9">
        <v>6</v>
      </c>
      <c r="F68" s="9"/>
      <c r="G68" s="9"/>
      <c r="H68" s="9"/>
      <c r="I68" s="9"/>
      <c r="J68" s="9"/>
      <c r="K68" s="9"/>
      <c r="L68" s="9"/>
      <c r="M68" s="9"/>
      <c r="N68" s="9"/>
      <c r="O68" s="9"/>
      <c r="P68" s="10">
        <f t="shared" si="4"/>
        <v>12</v>
      </c>
    </row>
    <row r="69" spans="1:16" hidden="1" x14ac:dyDescent="0.6">
      <c r="A69" s="7">
        <f t="shared" si="0"/>
        <v>0</v>
      </c>
      <c r="B69" s="9" t="s">
        <v>84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10">
        <f t="shared" si="4"/>
        <v>0</v>
      </c>
    </row>
    <row r="70" spans="1:16" x14ac:dyDescent="0.6">
      <c r="A70" s="7">
        <f t="shared" ref="A70:A83" si="5">P70</f>
        <v>7</v>
      </c>
      <c r="B70" s="9" t="s">
        <v>40</v>
      </c>
      <c r="C70" s="9">
        <v>3</v>
      </c>
      <c r="D70" s="9"/>
      <c r="E70" s="9">
        <v>4</v>
      </c>
      <c r="F70" s="9"/>
      <c r="G70" s="9"/>
      <c r="H70" s="9"/>
      <c r="I70" s="9"/>
      <c r="J70" s="9"/>
      <c r="K70" s="9"/>
      <c r="L70" s="9"/>
      <c r="M70" s="9"/>
      <c r="N70" s="9"/>
      <c r="O70" s="9"/>
      <c r="P70" s="10">
        <f t="shared" si="4"/>
        <v>7</v>
      </c>
    </row>
    <row r="71" spans="1:16" hidden="1" x14ac:dyDescent="0.6">
      <c r="A71" s="7">
        <f t="shared" si="5"/>
        <v>0</v>
      </c>
      <c r="B71" s="9" t="s">
        <v>78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10">
        <f t="shared" si="4"/>
        <v>0</v>
      </c>
    </row>
    <row r="72" spans="1:16" hidden="1" x14ac:dyDescent="0.6">
      <c r="A72" s="7">
        <f t="shared" si="5"/>
        <v>0</v>
      </c>
      <c r="B72" s="9" t="s">
        <v>39</v>
      </c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10">
        <f t="shared" si="4"/>
        <v>0</v>
      </c>
    </row>
    <row r="73" spans="1:16" x14ac:dyDescent="0.6">
      <c r="A73" s="7">
        <f t="shared" si="5"/>
        <v>8</v>
      </c>
      <c r="B73" s="9" t="s">
        <v>23</v>
      </c>
      <c r="C73" s="9">
        <v>4</v>
      </c>
      <c r="D73" s="9"/>
      <c r="E73" s="9">
        <v>4</v>
      </c>
      <c r="F73" s="9"/>
      <c r="G73" s="9"/>
      <c r="H73" s="9"/>
      <c r="I73" s="9"/>
      <c r="J73" s="9"/>
      <c r="K73" s="9"/>
      <c r="L73" s="9"/>
      <c r="M73" s="9"/>
      <c r="N73" s="9"/>
      <c r="O73" s="9"/>
      <c r="P73" s="10">
        <f t="shared" si="4"/>
        <v>8</v>
      </c>
    </row>
    <row r="74" spans="1:16" hidden="1" x14ac:dyDescent="0.6">
      <c r="A74" s="7">
        <f t="shared" si="5"/>
        <v>0</v>
      </c>
      <c r="B74" s="9" t="s">
        <v>109</v>
      </c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10">
        <f t="shared" si="4"/>
        <v>0</v>
      </c>
    </row>
    <row r="75" spans="1:16" x14ac:dyDescent="0.6">
      <c r="A75" s="7">
        <f t="shared" si="5"/>
        <v>2</v>
      </c>
      <c r="B75" s="9" t="s">
        <v>75</v>
      </c>
      <c r="C75" s="9"/>
      <c r="D75" s="9"/>
      <c r="E75" s="9">
        <v>2</v>
      </c>
      <c r="F75" s="9"/>
      <c r="G75" s="9"/>
      <c r="H75" s="9"/>
      <c r="I75" s="9"/>
      <c r="J75" s="9"/>
      <c r="K75" s="9"/>
      <c r="L75" s="9"/>
      <c r="M75" s="9"/>
      <c r="N75" s="9"/>
      <c r="O75" s="9"/>
      <c r="P75" s="10">
        <f t="shared" si="4"/>
        <v>2</v>
      </c>
    </row>
    <row r="76" spans="1:16" hidden="1" x14ac:dyDescent="0.6">
      <c r="A76" s="7">
        <f t="shared" si="5"/>
        <v>0</v>
      </c>
      <c r="B76" s="9" t="s">
        <v>134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10"/>
    </row>
    <row r="77" spans="1:16" x14ac:dyDescent="0.6">
      <c r="A77" s="7">
        <f t="shared" si="5"/>
        <v>2</v>
      </c>
      <c r="B77" s="9" t="s">
        <v>89</v>
      </c>
      <c r="C77" s="9">
        <v>1</v>
      </c>
      <c r="D77" s="9"/>
      <c r="E77" s="9">
        <v>1</v>
      </c>
      <c r="F77" s="9"/>
      <c r="G77" s="9"/>
      <c r="H77" s="9"/>
      <c r="I77" s="9"/>
      <c r="J77" s="9"/>
      <c r="K77" s="9"/>
      <c r="L77" s="9"/>
      <c r="M77" s="9"/>
      <c r="N77" s="9"/>
      <c r="O77" s="9"/>
      <c r="P77" s="10">
        <f t="shared" ref="P77:P105" si="6">SUM(C77:O77)</f>
        <v>2</v>
      </c>
    </row>
    <row r="78" spans="1:16" x14ac:dyDescent="0.6">
      <c r="A78" s="7">
        <f t="shared" si="5"/>
        <v>4</v>
      </c>
      <c r="B78" s="9" t="s">
        <v>24</v>
      </c>
      <c r="C78" s="9">
        <v>4</v>
      </c>
      <c r="D78" s="9"/>
      <c r="E78" s="9">
        <v>0</v>
      </c>
      <c r="F78" s="9"/>
      <c r="G78" s="9"/>
      <c r="H78" s="9"/>
      <c r="I78" s="9"/>
      <c r="J78" s="9"/>
      <c r="K78" s="9"/>
      <c r="L78" s="9"/>
      <c r="M78" s="9"/>
      <c r="N78" s="9"/>
      <c r="O78" s="9"/>
      <c r="P78" s="10">
        <f t="shared" si="6"/>
        <v>4</v>
      </c>
    </row>
    <row r="79" spans="1:16" ht="36.6" hidden="1" customHeight="1" x14ac:dyDescent="0.6">
      <c r="A79" s="7">
        <f t="shared" si="5"/>
        <v>0</v>
      </c>
      <c r="B79" s="9" t="s">
        <v>87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10">
        <f t="shared" si="6"/>
        <v>0</v>
      </c>
    </row>
    <row r="80" spans="1:16" hidden="1" x14ac:dyDescent="0.6">
      <c r="A80" s="7">
        <f t="shared" si="5"/>
        <v>0</v>
      </c>
      <c r="B80" s="9" t="s">
        <v>80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10">
        <f t="shared" si="6"/>
        <v>0</v>
      </c>
    </row>
    <row r="81" spans="1:16" hidden="1" x14ac:dyDescent="0.6">
      <c r="A81" s="7">
        <f t="shared" si="5"/>
        <v>0</v>
      </c>
      <c r="B81" s="9" t="s">
        <v>27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10">
        <f t="shared" si="6"/>
        <v>0</v>
      </c>
    </row>
    <row r="82" spans="1:16" x14ac:dyDescent="0.6">
      <c r="A82" s="7">
        <f t="shared" si="5"/>
        <v>3</v>
      </c>
      <c r="B82" s="9" t="s">
        <v>28</v>
      </c>
      <c r="C82" s="9">
        <v>3</v>
      </c>
      <c r="D82" s="9"/>
      <c r="E82" s="9">
        <v>0</v>
      </c>
      <c r="F82" s="9"/>
      <c r="G82" s="9"/>
      <c r="H82" s="9"/>
      <c r="I82" s="9"/>
      <c r="J82" s="9"/>
      <c r="K82" s="9"/>
      <c r="L82" s="9"/>
      <c r="M82" s="9"/>
      <c r="N82" s="9"/>
      <c r="O82" s="9"/>
      <c r="P82" s="10">
        <f t="shared" si="6"/>
        <v>3</v>
      </c>
    </row>
    <row r="83" spans="1:16" hidden="1" x14ac:dyDescent="0.6">
      <c r="A83" s="7">
        <f t="shared" si="5"/>
        <v>0</v>
      </c>
      <c r="B83" s="9" t="s">
        <v>50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10">
        <f t="shared" si="6"/>
        <v>0</v>
      </c>
    </row>
    <row r="84" spans="1:16" hidden="1" x14ac:dyDescent="0.6">
      <c r="A84" s="7">
        <f t="shared" ref="A84:A104" si="7">P84</f>
        <v>0</v>
      </c>
      <c r="B84" s="9" t="s">
        <v>81</v>
      </c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10">
        <f t="shared" si="6"/>
        <v>0</v>
      </c>
    </row>
    <row r="85" spans="1:16" x14ac:dyDescent="0.6">
      <c r="A85" s="7">
        <f t="shared" si="7"/>
        <v>20</v>
      </c>
      <c r="B85" s="9" t="s">
        <v>56</v>
      </c>
      <c r="C85" s="9">
        <v>20</v>
      </c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10">
        <f t="shared" si="6"/>
        <v>20</v>
      </c>
    </row>
    <row r="86" spans="1:16" x14ac:dyDescent="0.6">
      <c r="A86" s="7">
        <f t="shared" si="7"/>
        <v>20</v>
      </c>
      <c r="B86" s="9" t="s">
        <v>57</v>
      </c>
      <c r="C86" s="9">
        <v>20</v>
      </c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10">
        <f t="shared" si="6"/>
        <v>20</v>
      </c>
    </row>
    <row r="87" spans="1:16" x14ac:dyDescent="0.6">
      <c r="A87" s="7">
        <f t="shared" si="7"/>
        <v>20</v>
      </c>
      <c r="B87" s="9" t="s">
        <v>58</v>
      </c>
      <c r="C87" s="9">
        <v>20</v>
      </c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10">
        <f t="shared" si="6"/>
        <v>20</v>
      </c>
    </row>
    <row r="88" spans="1:16" x14ac:dyDescent="0.6">
      <c r="A88" s="7">
        <f t="shared" si="7"/>
        <v>20</v>
      </c>
      <c r="B88" s="9" t="s">
        <v>77</v>
      </c>
      <c r="C88" s="9">
        <v>20</v>
      </c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10">
        <f t="shared" si="6"/>
        <v>20</v>
      </c>
    </row>
    <row r="89" spans="1:16" x14ac:dyDescent="0.6">
      <c r="A89" s="7">
        <f t="shared" si="7"/>
        <v>20</v>
      </c>
      <c r="B89" s="9" t="s">
        <v>59</v>
      </c>
      <c r="C89" s="9">
        <v>20</v>
      </c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10">
        <f t="shared" si="6"/>
        <v>20</v>
      </c>
    </row>
    <row r="90" spans="1:16" x14ac:dyDescent="0.6">
      <c r="A90" s="7">
        <f t="shared" si="7"/>
        <v>20</v>
      </c>
      <c r="B90" s="9" t="s">
        <v>60</v>
      </c>
      <c r="C90" s="9">
        <v>20</v>
      </c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10">
        <f t="shared" si="6"/>
        <v>20</v>
      </c>
    </row>
    <row r="91" spans="1:16" hidden="1" x14ac:dyDescent="0.6">
      <c r="A91" s="7">
        <f t="shared" si="7"/>
        <v>0</v>
      </c>
      <c r="B91" s="9" t="s">
        <v>111</v>
      </c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10">
        <f t="shared" si="6"/>
        <v>0</v>
      </c>
    </row>
    <row r="92" spans="1:16" x14ac:dyDescent="0.6">
      <c r="A92" s="7">
        <f t="shared" si="7"/>
        <v>9</v>
      </c>
      <c r="B92" s="9" t="s">
        <v>65</v>
      </c>
      <c r="C92" s="9"/>
      <c r="D92" s="9">
        <v>9</v>
      </c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10">
        <f t="shared" si="6"/>
        <v>9</v>
      </c>
    </row>
    <row r="93" spans="1:16" x14ac:dyDescent="0.6">
      <c r="A93" s="7">
        <f t="shared" si="7"/>
        <v>10</v>
      </c>
      <c r="B93" s="9" t="s">
        <v>9</v>
      </c>
      <c r="C93" s="9"/>
      <c r="D93" s="9"/>
      <c r="E93" s="9">
        <v>10</v>
      </c>
      <c r="F93" s="9"/>
      <c r="G93" s="9"/>
      <c r="H93" s="9"/>
      <c r="I93" s="9"/>
      <c r="J93" s="9"/>
      <c r="K93" s="9"/>
      <c r="L93" s="9"/>
      <c r="M93" s="9"/>
      <c r="N93" s="9"/>
      <c r="O93" s="9"/>
      <c r="P93" s="10">
        <f t="shared" si="6"/>
        <v>10</v>
      </c>
    </row>
    <row r="94" spans="1:16" ht="33" customHeight="1" x14ac:dyDescent="0.6">
      <c r="A94" s="7">
        <f t="shared" si="7"/>
        <v>25</v>
      </c>
      <c r="B94" s="9" t="s">
        <v>83</v>
      </c>
      <c r="C94" s="9">
        <v>15</v>
      </c>
      <c r="D94" s="9"/>
      <c r="E94" s="9">
        <v>10</v>
      </c>
      <c r="F94" s="9"/>
      <c r="G94" s="9"/>
      <c r="H94" s="9"/>
      <c r="I94" s="9"/>
      <c r="J94" s="9"/>
      <c r="K94" s="9"/>
      <c r="L94" s="9"/>
      <c r="M94" s="9"/>
      <c r="N94" s="9"/>
      <c r="O94" s="9"/>
      <c r="P94" s="10">
        <f t="shared" si="6"/>
        <v>25</v>
      </c>
    </row>
    <row r="95" spans="1:16" ht="33" customHeight="1" x14ac:dyDescent="0.6">
      <c r="A95" s="7">
        <f t="shared" si="7"/>
        <v>15</v>
      </c>
      <c r="B95" s="9" t="s">
        <v>86</v>
      </c>
      <c r="C95" s="9">
        <v>5</v>
      </c>
      <c r="D95" s="9"/>
      <c r="E95" s="9">
        <v>10</v>
      </c>
      <c r="F95" s="9"/>
      <c r="G95" s="9"/>
      <c r="H95" s="9"/>
      <c r="I95" s="9"/>
      <c r="J95" s="9"/>
      <c r="K95" s="9"/>
      <c r="L95" s="9"/>
      <c r="M95" s="9"/>
      <c r="N95" s="9"/>
      <c r="O95" s="9"/>
      <c r="P95" s="10">
        <f t="shared" si="6"/>
        <v>15</v>
      </c>
    </row>
    <row r="96" spans="1:16" ht="33" hidden="1" customHeight="1" x14ac:dyDescent="0.6">
      <c r="A96" s="7">
        <f t="shared" si="7"/>
        <v>0</v>
      </c>
      <c r="B96" s="9" t="s">
        <v>88</v>
      </c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10">
        <f t="shared" si="6"/>
        <v>0</v>
      </c>
    </row>
    <row r="97" spans="1:17" x14ac:dyDescent="0.6">
      <c r="A97" s="7">
        <f t="shared" si="7"/>
        <v>4</v>
      </c>
      <c r="B97" s="9" t="s">
        <v>46</v>
      </c>
      <c r="C97" s="9">
        <v>2</v>
      </c>
      <c r="D97" s="9"/>
      <c r="E97" s="9">
        <v>2</v>
      </c>
      <c r="F97" s="9"/>
      <c r="G97" s="9"/>
      <c r="H97" s="9"/>
      <c r="I97" s="9"/>
      <c r="J97" s="9"/>
      <c r="K97" s="9"/>
      <c r="L97" s="9"/>
      <c r="M97" s="9"/>
      <c r="N97" s="9"/>
      <c r="O97" s="9"/>
      <c r="P97" s="10">
        <f t="shared" si="6"/>
        <v>4</v>
      </c>
    </row>
    <row r="98" spans="1:17" x14ac:dyDescent="0.6">
      <c r="A98" s="7">
        <f t="shared" si="7"/>
        <v>6</v>
      </c>
      <c r="B98" s="9" t="s">
        <v>49</v>
      </c>
      <c r="C98" s="9">
        <v>6</v>
      </c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10">
        <f t="shared" si="6"/>
        <v>6</v>
      </c>
    </row>
    <row r="99" spans="1:17" hidden="1" x14ac:dyDescent="0.6">
      <c r="A99" s="7">
        <f t="shared" si="7"/>
        <v>0</v>
      </c>
      <c r="B99" s="9" t="s">
        <v>67</v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10">
        <f t="shared" si="6"/>
        <v>0</v>
      </c>
    </row>
    <row r="100" spans="1:17" x14ac:dyDescent="0.6">
      <c r="A100" s="7">
        <f t="shared" si="7"/>
        <v>7</v>
      </c>
      <c r="B100" s="9" t="s">
        <v>16</v>
      </c>
      <c r="C100" s="9">
        <v>7</v>
      </c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10">
        <f t="shared" si="6"/>
        <v>7</v>
      </c>
    </row>
    <row r="101" spans="1:17" hidden="1" x14ac:dyDescent="0.6">
      <c r="A101" s="7">
        <f t="shared" si="7"/>
        <v>0</v>
      </c>
      <c r="B101" s="9" t="s">
        <v>51</v>
      </c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10">
        <f t="shared" si="6"/>
        <v>0</v>
      </c>
    </row>
    <row r="102" spans="1:17" ht="36" hidden="1" customHeight="1" x14ac:dyDescent="0.6">
      <c r="A102" s="7">
        <f t="shared" si="7"/>
        <v>0</v>
      </c>
      <c r="B102" s="9" t="s">
        <v>10</v>
      </c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10">
        <f t="shared" si="6"/>
        <v>0</v>
      </c>
    </row>
    <row r="103" spans="1:17" hidden="1" x14ac:dyDescent="0.6">
      <c r="A103" s="7">
        <f t="shared" si="7"/>
        <v>0</v>
      </c>
      <c r="B103" s="9" t="s">
        <v>17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10">
        <f t="shared" si="6"/>
        <v>0</v>
      </c>
    </row>
    <row r="104" spans="1:17" hidden="1" x14ac:dyDescent="0.6">
      <c r="A104" s="7">
        <f t="shared" si="7"/>
        <v>0</v>
      </c>
      <c r="B104" s="11" t="s">
        <v>55</v>
      </c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10">
        <f t="shared" si="6"/>
        <v>0</v>
      </c>
    </row>
    <row r="105" spans="1:17" x14ac:dyDescent="0.6">
      <c r="A105" s="16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0">
        <f t="shared" si="6"/>
        <v>0</v>
      </c>
      <c r="Q105" s="1"/>
    </row>
    <row r="106" spans="1:17" ht="33" customHeight="1" x14ac:dyDescent="0.6">
      <c r="A106" s="13"/>
    </row>
    <row r="107" spans="1:17" ht="75" customHeight="1" x14ac:dyDescent="0.6">
      <c r="A107" s="13"/>
      <c r="B107" s="15" t="s">
        <v>15</v>
      </c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36"/>
      <c r="O107" s="42" t="s">
        <v>76</v>
      </c>
      <c r="P107" s="42"/>
    </row>
    <row r="108" spans="1:17" ht="133.5" customHeight="1" x14ac:dyDescent="0.6">
      <c r="B108" s="37" t="s">
        <v>122</v>
      </c>
      <c r="C108" s="48" t="s">
        <v>123</v>
      </c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38"/>
      <c r="O108" s="43" t="s">
        <v>117</v>
      </c>
      <c r="P108" s="43"/>
    </row>
    <row r="109" spans="1:17" ht="106.8" customHeight="1" x14ac:dyDescent="0.6">
      <c r="B109" s="37" t="s">
        <v>130</v>
      </c>
      <c r="C109" s="48" t="s">
        <v>132</v>
      </c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38"/>
      <c r="O109" s="44" t="s">
        <v>133</v>
      </c>
      <c r="P109" s="44"/>
    </row>
    <row r="110" spans="1:17" ht="96" hidden="1" customHeight="1" x14ac:dyDescent="0.6">
      <c r="B110" s="37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38"/>
      <c r="O110" s="44"/>
      <c r="P110" s="44"/>
    </row>
    <row r="111" spans="1:17" ht="105.6" hidden="1" customHeight="1" x14ac:dyDescent="0.6">
      <c r="B111" s="33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34"/>
      <c r="O111" s="35"/>
    </row>
    <row r="112" spans="1:17" ht="106.2" hidden="1" customHeight="1" x14ac:dyDescent="0.6">
      <c r="B112" s="19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32"/>
      <c r="O112" s="18"/>
    </row>
    <row r="113" spans="2:15" ht="63" hidden="1" customHeight="1" x14ac:dyDescent="0.6">
      <c r="B113" s="19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32"/>
      <c r="O113" s="18"/>
    </row>
    <row r="114" spans="2:15" ht="50.4" hidden="1" customHeight="1" x14ac:dyDescent="0.6">
      <c r="B114" s="19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32"/>
      <c r="O114" s="18"/>
    </row>
    <row r="115" spans="2:15" ht="69.599999999999994" hidden="1" customHeight="1" x14ac:dyDescent="0.6">
      <c r="B115" s="19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32"/>
      <c r="O115" s="18"/>
    </row>
    <row r="116" spans="2:15" ht="33.6" hidden="1" x14ac:dyDescent="0.6">
      <c r="B116" s="19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32"/>
      <c r="O116" s="18"/>
    </row>
    <row r="117" spans="2:15" ht="33.6" hidden="1" x14ac:dyDescent="0.6">
      <c r="B117" s="19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32"/>
      <c r="O117" s="18"/>
    </row>
    <row r="118" spans="2:15" ht="33.6" hidden="1" x14ac:dyDescent="0.6">
      <c r="B118" s="19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32"/>
      <c r="O118" s="18"/>
    </row>
    <row r="119" spans="2:15" ht="33.6" hidden="1" x14ac:dyDescent="0.6">
      <c r="B119" s="19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32"/>
      <c r="O119" s="18"/>
    </row>
    <row r="120" spans="2:15" ht="33.6" hidden="1" x14ac:dyDescent="0.6">
      <c r="B120" s="19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32"/>
      <c r="O120" s="18"/>
    </row>
    <row r="121" spans="2:15" ht="33.6" hidden="1" x14ac:dyDescent="0.6">
      <c r="B121" s="19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32"/>
      <c r="O121" s="18"/>
    </row>
  </sheetData>
  <mergeCells count="20">
    <mergeCell ref="C119:M119"/>
    <mergeCell ref="C120:M120"/>
    <mergeCell ref="C121:M121"/>
    <mergeCell ref="C113:M113"/>
    <mergeCell ref="C114:M114"/>
    <mergeCell ref="C115:M115"/>
    <mergeCell ref="C116:M116"/>
    <mergeCell ref="C117:M117"/>
    <mergeCell ref="C118:M118"/>
    <mergeCell ref="C112:M112"/>
    <mergeCell ref="A2:B2"/>
    <mergeCell ref="C107:M107"/>
    <mergeCell ref="C108:M108"/>
    <mergeCell ref="C109:M109"/>
    <mergeCell ref="C110:M110"/>
    <mergeCell ref="O107:P107"/>
    <mergeCell ref="O108:P108"/>
    <mergeCell ref="O109:P109"/>
    <mergeCell ref="O110:P110"/>
    <mergeCell ref="C111:M111"/>
  </mergeCells>
  <phoneticPr fontId="9" type="noConversion"/>
  <pageMargins left="0.7" right="0.7" top="0.75" bottom="0.75" header="0.3" footer="0.3"/>
  <pageSetup paperSize="9" scale="18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F4DAB-AB3A-471D-8C60-AE1455F77804}">
  <sheetPr>
    <pageSetUpPr fitToPage="1"/>
  </sheetPr>
  <dimension ref="A1:AC116"/>
  <sheetViews>
    <sheetView tabSelected="1" zoomScale="49" zoomScaleNormal="49" workbookViewId="0">
      <selection activeCell="B10" sqref="B10"/>
    </sheetView>
  </sheetViews>
  <sheetFormatPr defaultColWidth="11.88671875" defaultRowHeight="31.2" x14ac:dyDescent="0.6"/>
  <cols>
    <col min="1" max="1" width="11.88671875" style="2"/>
    <col min="2" max="2" width="97.44140625" style="3" customWidth="1"/>
    <col min="3" max="10" width="10.6640625" style="3" customWidth="1"/>
    <col min="11" max="11" width="30.33203125" style="5" customWidth="1"/>
    <col min="12" max="12" width="17.5546875" style="5" customWidth="1"/>
    <col min="13" max="16384" width="11.88671875" style="5"/>
  </cols>
  <sheetData>
    <row r="1" spans="1:29" x14ac:dyDescent="0.6">
      <c r="B1" s="2"/>
      <c r="C1" s="2"/>
      <c r="K1" s="4"/>
    </row>
    <row r="2" spans="1:29" ht="64.2" customHeight="1" x14ac:dyDescent="0.6">
      <c r="A2" s="41" t="s">
        <v>157</v>
      </c>
      <c r="B2" s="41"/>
      <c r="K2" s="4"/>
    </row>
    <row r="3" spans="1:29" ht="201.6" customHeight="1" x14ac:dyDescent="0.6">
      <c r="A3" s="12"/>
      <c r="B3" s="6" t="s">
        <v>33</v>
      </c>
      <c r="C3" s="31" t="s">
        <v>11</v>
      </c>
      <c r="D3" s="31" t="s">
        <v>41</v>
      </c>
      <c r="E3" s="31" t="s">
        <v>34</v>
      </c>
      <c r="F3" s="31" t="s">
        <v>35</v>
      </c>
      <c r="G3" s="31" t="s">
        <v>160</v>
      </c>
      <c r="H3" s="31" t="s">
        <v>163</v>
      </c>
      <c r="I3" s="31" t="s">
        <v>155</v>
      </c>
      <c r="J3" s="31" t="s">
        <v>119</v>
      </c>
      <c r="K3" s="14" t="s">
        <v>18</v>
      </c>
      <c r="L3" s="4"/>
    </row>
    <row r="4" spans="1:29" ht="31.2" customHeight="1" x14ac:dyDescent="0.6">
      <c r="A4" s="7">
        <f t="shared" ref="A4:A28" si="0">K4</f>
        <v>63</v>
      </c>
      <c r="B4" s="8" t="s">
        <v>26</v>
      </c>
      <c r="C4" s="9">
        <v>35</v>
      </c>
      <c r="D4" s="9"/>
      <c r="E4" s="9">
        <v>28</v>
      </c>
      <c r="F4" s="9"/>
      <c r="G4" s="9"/>
      <c r="H4" s="9"/>
      <c r="I4" s="9"/>
      <c r="J4" s="9"/>
      <c r="K4" s="10">
        <f>SUM(C4:J4)</f>
        <v>63</v>
      </c>
      <c r="AC4" s="5" t="s">
        <v>42</v>
      </c>
    </row>
    <row r="5" spans="1:29" ht="31.5" customHeight="1" x14ac:dyDescent="0.6">
      <c r="A5" s="7">
        <f t="shared" si="0"/>
        <v>12</v>
      </c>
      <c r="B5" s="8" t="s">
        <v>85</v>
      </c>
      <c r="C5" s="9"/>
      <c r="D5" s="9">
        <v>8</v>
      </c>
      <c r="E5" s="9"/>
      <c r="F5" s="9">
        <v>4</v>
      </c>
      <c r="G5" s="9"/>
      <c r="H5" s="9"/>
      <c r="I5" s="9"/>
      <c r="J5" s="9"/>
      <c r="K5" s="10">
        <f>SUM(C5:J5)</f>
        <v>12</v>
      </c>
    </row>
    <row r="6" spans="1:29" ht="31.5" customHeight="1" x14ac:dyDescent="0.6">
      <c r="A6" s="7">
        <f t="shared" si="0"/>
        <v>0</v>
      </c>
      <c r="B6" s="8" t="s">
        <v>151</v>
      </c>
      <c r="C6" s="9"/>
      <c r="D6" s="9"/>
      <c r="E6" s="9"/>
      <c r="F6" s="9"/>
      <c r="G6" s="9"/>
      <c r="H6" s="9"/>
      <c r="I6" s="9"/>
      <c r="J6" s="9"/>
      <c r="K6" s="10">
        <f>SUM(C6:J6)</f>
        <v>0</v>
      </c>
    </row>
    <row r="7" spans="1:29" ht="31.2" customHeight="1" x14ac:dyDescent="0.6">
      <c r="A7" s="7">
        <f t="shared" si="0"/>
        <v>0</v>
      </c>
      <c r="B7" s="8" t="s">
        <v>137</v>
      </c>
      <c r="C7" s="9"/>
      <c r="D7" s="9"/>
      <c r="E7" s="9"/>
      <c r="F7" s="9"/>
      <c r="G7" s="9"/>
      <c r="H7" s="9"/>
      <c r="I7" s="9"/>
      <c r="J7" s="9"/>
      <c r="K7" s="10">
        <f>SUM(C7:J7)</f>
        <v>0</v>
      </c>
    </row>
    <row r="8" spans="1:29" ht="31.5" customHeight="1" x14ac:dyDescent="0.6">
      <c r="A8" s="7">
        <f t="shared" si="0"/>
        <v>0</v>
      </c>
      <c r="B8" s="8" t="s">
        <v>108</v>
      </c>
      <c r="C8" s="9"/>
      <c r="D8" s="9"/>
      <c r="E8" s="9"/>
      <c r="F8" s="9"/>
      <c r="G8" s="9"/>
      <c r="H8" s="9"/>
      <c r="I8" s="9"/>
      <c r="J8" s="9"/>
      <c r="K8" s="10">
        <f>SUM(C8:J8)</f>
        <v>0</v>
      </c>
    </row>
    <row r="9" spans="1:29" ht="32.4" customHeight="1" x14ac:dyDescent="0.6">
      <c r="A9" s="7">
        <f t="shared" si="0"/>
        <v>26</v>
      </c>
      <c r="B9" s="9" t="s">
        <v>25</v>
      </c>
      <c r="C9" s="9">
        <v>14</v>
      </c>
      <c r="D9" s="9"/>
      <c r="E9" s="9">
        <v>12</v>
      </c>
      <c r="F9" s="9"/>
      <c r="G9" s="9"/>
      <c r="H9" s="9"/>
      <c r="I9" s="9"/>
      <c r="J9" s="9"/>
      <c r="K9" s="10">
        <f>SUM(C9:J9)</f>
        <v>26</v>
      </c>
    </row>
    <row r="10" spans="1:29" ht="31.2" customHeight="1" x14ac:dyDescent="0.6">
      <c r="A10" s="7">
        <f t="shared" si="0"/>
        <v>0</v>
      </c>
      <c r="B10" s="9" t="s">
        <v>142</v>
      </c>
      <c r="C10" s="9"/>
      <c r="D10" s="9"/>
      <c r="E10" s="9"/>
      <c r="F10" s="9"/>
      <c r="G10" s="9"/>
      <c r="H10" s="9"/>
      <c r="I10" s="9"/>
      <c r="J10" s="9"/>
      <c r="K10" s="10">
        <f>SUM(C10:J10)</f>
        <v>0</v>
      </c>
    </row>
    <row r="11" spans="1:29" ht="31.2" customHeight="1" x14ac:dyDescent="0.6">
      <c r="A11" s="7">
        <f t="shared" si="0"/>
        <v>0</v>
      </c>
      <c r="B11" s="9" t="s">
        <v>152</v>
      </c>
      <c r="C11" s="9"/>
      <c r="D11" s="9"/>
      <c r="E11" s="9"/>
      <c r="F11" s="9"/>
      <c r="G11" s="9"/>
      <c r="H11" s="9"/>
      <c r="I11" s="9"/>
      <c r="J11" s="9"/>
      <c r="K11" s="10">
        <f>SUM(C11:J11)</f>
        <v>0</v>
      </c>
    </row>
    <row r="12" spans="1:29" ht="31.5" customHeight="1" x14ac:dyDescent="0.6">
      <c r="A12" s="7">
        <f t="shared" si="0"/>
        <v>24</v>
      </c>
      <c r="B12" s="9" t="s">
        <v>37</v>
      </c>
      <c r="C12" s="9">
        <v>12</v>
      </c>
      <c r="D12" s="9"/>
      <c r="E12" s="9">
        <v>12</v>
      </c>
      <c r="F12" s="9"/>
      <c r="G12" s="9"/>
      <c r="H12" s="9"/>
      <c r="I12" s="9"/>
      <c r="J12" s="9"/>
      <c r="K12" s="10">
        <f>SUM(C12:J12)</f>
        <v>24</v>
      </c>
    </row>
    <row r="13" spans="1:29" ht="59.4" customHeight="1" x14ac:dyDescent="0.6">
      <c r="A13" s="7">
        <f t="shared" si="0"/>
        <v>0</v>
      </c>
      <c r="B13" s="9" t="s">
        <v>140</v>
      </c>
      <c r="C13" s="9"/>
      <c r="D13" s="9"/>
      <c r="E13" s="9"/>
      <c r="F13" s="9"/>
      <c r="G13" s="9"/>
      <c r="H13" s="9"/>
      <c r="I13" s="9"/>
      <c r="J13" s="9"/>
      <c r="K13" s="10">
        <f>SUM(C13:J13)</f>
        <v>0</v>
      </c>
    </row>
    <row r="14" spans="1:29" ht="31.5" customHeight="1" x14ac:dyDescent="0.6">
      <c r="A14" s="7">
        <f t="shared" si="0"/>
        <v>0</v>
      </c>
      <c r="B14" s="9" t="s">
        <v>139</v>
      </c>
      <c r="C14" s="9"/>
      <c r="D14" s="9"/>
      <c r="E14" s="9"/>
      <c r="F14" s="9"/>
      <c r="G14" s="9"/>
      <c r="H14" s="9"/>
      <c r="I14" s="9"/>
      <c r="J14" s="9"/>
      <c r="K14" s="10">
        <f>SUM(C14:J14)</f>
        <v>0</v>
      </c>
    </row>
    <row r="15" spans="1:29" ht="31.5" customHeight="1" x14ac:dyDescent="0.6">
      <c r="A15" s="7">
        <f t="shared" si="0"/>
        <v>0</v>
      </c>
      <c r="B15" s="9" t="s">
        <v>143</v>
      </c>
      <c r="C15" s="9"/>
      <c r="D15" s="9"/>
      <c r="E15" s="9"/>
      <c r="F15" s="9"/>
      <c r="G15" s="9"/>
      <c r="H15" s="9"/>
      <c r="I15" s="9"/>
      <c r="J15" s="9"/>
      <c r="K15" s="10">
        <f>SUM(C15:J15)</f>
        <v>0</v>
      </c>
    </row>
    <row r="16" spans="1:29" ht="31.2" customHeight="1" x14ac:dyDescent="0.6">
      <c r="A16" s="7">
        <f t="shared" si="0"/>
        <v>26</v>
      </c>
      <c r="B16" s="9" t="s">
        <v>138</v>
      </c>
      <c r="C16" s="9">
        <v>14</v>
      </c>
      <c r="D16" s="9"/>
      <c r="E16" s="9">
        <v>12</v>
      </c>
      <c r="F16" s="9"/>
      <c r="G16" s="9"/>
      <c r="H16" s="9"/>
      <c r="I16" s="9"/>
      <c r="J16" s="9"/>
      <c r="K16" s="10">
        <f>SUM(C16:J16)</f>
        <v>26</v>
      </c>
    </row>
    <row r="17" spans="1:11" ht="31.5" customHeight="1" x14ac:dyDescent="0.6">
      <c r="A17" s="7">
        <f t="shared" si="0"/>
        <v>14</v>
      </c>
      <c r="B17" s="9" t="s">
        <v>29</v>
      </c>
      <c r="C17" s="9">
        <v>8</v>
      </c>
      <c r="D17" s="9"/>
      <c r="E17" s="9">
        <v>6</v>
      </c>
      <c r="F17" s="9"/>
      <c r="G17" s="9"/>
      <c r="H17" s="9"/>
      <c r="I17" s="9"/>
      <c r="J17" s="9"/>
      <c r="K17" s="10">
        <f>SUM(C17:J17)</f>
        <v>14</v>
      </c>
    </row>
    <row r="18" spans="1:11" ht="31.2" customHeight="1" x14ac:dyDescent="0.6">
      <c r="A18" s="7">
        <f t="shared" si="0"/>
        <v>0</v>
      </c>
      <c r="B18" s="9" t="s">
        <v>74</v>
      </c>
      <c r="C18" s="9"/>
      <c r="D18" s="9"/>
      <c r="E18" s="9"/>
      <c r="F18" s="9"/>
      <c r="G18" s="9"/>
      <c r="H18" s="9"/>
      <c r="I18" s="9"/>
      <c r="J18" s="9"/>
      <c r="K18" s="10">
        <f>SUM(C18:J18)</f>
        <v>0</v>
      </c>
    </row>
    <row r="19" spans="1:11" x14ac:dyDescent="0.6">
      <c r="A19" s="7">
        <f t="shared" si="0"/>
        <v>5</v>
      </c>
      <c r="B19" s="9" t="s">
        <v>44</v>
      </c>
      <c r="C19" s="9">
        <v>3</v>
      </c>
      <c r="D19" s="9"/>
      <c r="E19" s="9">
        <v>2</v>
      </c>
      <c r="F19" s="9"/>
      <c r="G19" s="9"/>
      <c r="H19" s="9"/>
      <c r="I19" s="9"/>
      <c r="J19" s="9"/>
      <c r="K19" s="10">
        <f>SUM(C19:J19)</f>
        <v>5</v>
      </c>
    </row>
    <row r="20" spans="1:11" x14ac:dyDescent="0.6">
      <c r="A20" s="7">
        <f t="shared" si="0"/>
        <v>5</v>
      </c>
      <c r="B20" s="9" t="s">
        <v>21</v>
      </c>
      <c r="C20" s="9">
        <v>5</v>
      </c>
      <c r="D20" s="9"/>
      <c r="E20" s="9">
        <v>0</v>
      </c>
      <c r="F20" s="9"/>
      <c r="G20" s="9"/>
      <c r="H20" s="9"/>
      <c r="I20" s="9"/>
      <c r="J20" s="9"/>
      <c r="K20" s="10">
        <f>SUM(C20:J20)</f>
        <v>5</v>
      </c>
    </row>
    <row r="21" spans="1:11" x14ac:dyDescent="0.6">
      <c r="A21" s="7">
        <f t="shared" si="0"/>
        <v>11</v>
      </c>
      <c r="B21" s="9" t="s">
        <v>4</v>
      </c>
      <c r="C21" s="9">
        <v>6</v>
      </c>
      <c r="D21" s="9"/>
      <c r="E21" s="9">
        <v>5</v>
      </c>
      <c r="F21" s="9"/>
      <c r="G21" s="9"/>
      <c r="H21" s="9"/>
      <c r="I21" s="9"/>
      <c r="J21" s="9"/>
      <c r="K21" s="10">
        <f>SUM(C21:J21)</f>
        <v>11</v>
      </c>
    </row>
    <row r="22" spans="1:11" x14ac:dyDescent="0.6">
      <c r="A22" s="7">
        <f t="shared" si="0"/>
        <v>8</v>
      </c>
      <c r="B22" s="9" t="s">
        <v>36</v>
      </c>
      <c r="C22" s="9">
        <v>4</v>
      </c>
      <c r="D22" s="9"/>
      <c r="E22" s="9">
        <v>4</v>
      </c>
      <c r="F22" s="9"/>
      <c r="G22" s="9"/>
      <c r="H22" s="9"/>
      <c r="I22" s="9"/>
      <c r="J22" s="9"/>
      <c r="K22" s="10">
        <f>SUM(C22:J22)</f>
        <v>8</v>
      </c>
    </row>
    <row r="23" spans="1:11" x14ac:dyDescent="0.6">
      <c r="A23" s="7">
        <f t="shared" si="0"/>
        <v>18</v>
      </c>
      <c r="B23" s="9" t="s">
        <v>45</v>
      </c>
      <c r="C23" s="9">
        <v>10</v>
      </c>
      <c r="D23" s="9"/>
      <c r="E23" s="9">
        <v>8</v>
      </c>
      <c r="F23" s="9"/>
      <c r="G23" s="9"/>
      <c r="H23" s="9"/>
      <c r="I23" s="9"/>
      <c r="J23" s="9"/>
      <c r="K23" s="10">
        <f>SUM(C23:J23)</f>
        <v>18</v>
      </c>
    </row>
    <row r="24" spans="1:11" ht="36" customHeight="1" x14ac:dyDescent="0.6">
      <c r="A24" s="7">
        <f t="shared" si="0"/>
        <v>12</v>
      </c>
      <c r="B24" s="9" t="s">
        <v>61</v>
      </c>
      <c r="C24" s="9">
        <v>12</v>
      </c>
      <c r="D24" s="9"/>
      <c r="E24" s="9"/>
      <c r="F24" s="9"/>
      <c r="G24" s="9"/>
      <c r="H24" s="9"/>
      <c r="I24" s="9"/>
      <c r="J24" s="9"/>
      <c r="K24" s="10">
        <f>SUM(C24:J24)</f>
        <v>12</v>
      </c>
    </row>
    <row r="25" spans="1:11" x14ac:dyDescent="0.6">
      <c r="A25" s="7">
        <f t="shared" si="0"/>
        <v>0</v>
      </c>
      <c r="B25" s="9" t="s">
        <v>48</v>
      </c>
      <c r="C25" s="9"/>
      <c r="D25" s="9"/>
      <c r="E25" s="9"/>
      <c r="F25" s="9"/>
      <c r="G25" s="9"/>
      <c r="H25" s="9"/>
      <c r="I25" s="9"/>
      <c r="J25" s="9"/>
      <c r="K25" s="10">
        <f>SUM(C25:J25)</f>
        <v>0</v>
      </c>
    </row>
    <row r="26" spans="1:11" x14ac:dyDescent="0.6">
      <c r="A26" s="7">
        <f t="shared" si="0"/>
        <v>0</v>
      </c>
      <c r="B26" s="9" t="s">
        <v>62</v>
      </c>
      <c r="C26" s="9"/>
      <c r="D26" s="9"/>
      <c r="E26" s="9"/>
      <c r="F26" s="9"/>
      <c r="G26" s="9"/>
      <c r="H26" s="9"/>
      <c r="I26" s="9"/>
      <c r="J26" s="9"/>
      <c r="K26" s="10">
        <f>SUM(C26:J26)</f>
        <v>0</v>
      </c>
    </row>
    <row r="27" spans="1:11" x14ac:dyDescent="0.6">
      <c r="A27" s="7">
        <f t="shared" si="0"/>
        <v>0</v>
      </c>
      <c r="B27" s="9" t="s">
        <v>79</v>
      </c>
      <c r="C27" s="9"/>
      <c r="D27" s="9"/>
      <c r="E27" s="9"/>
      <c r="F27" s="9"/>
      <c r="G27" s="9"/>
      <c r="H27" s="9"/>
      <c r="I27" s="9"/>
      <c r="J27" s="9"/>
      <c r="K27" s="10">
        <f>SUM(C27:J27)</f>
        <v>0</v>
      </c>
    </row>
    <row r="28" spans="1:11" x14ac:dyDescent="0.6">
      <c r="A28" s="7">
        <f t="shared" si="0"/>
        <v>0</v>
      </c>
      <c r="B28" s="9" t="s">
        <v>82</v>
      </c>
      <c r="C28" s="9"/>
      <c r="D28" s="9"/>
      <c r="E28" s="9"/>
      <c r="F28" s="9"/>
      <c r="G28" s="9"/>
      <c r="H28" s="9"/>
      <c r="I28" s="9"/>
      <c r="J28" s="9"/>
      <c r="K28" s="10">
        <f>SUM(C28:J28)</f>
        <v>0</v>
      </c>
    </row>
    <row r="29" spans="1:11" x14ac:dyDescent="0.6">
      <c r="A29" s="7"/>
      <c r="B29" s="9"/>
      <c r="C29" s="9"/>
      <c r="D29" s="9"/>
      <c r="E29" s="9"/>
      <c r="F29" s="9"/>
      <c r="G29" s="9"/>
      <c r="H29" s="9"/>
      <c r="I29" s="9"/>
      <c r="J29" s="9"/>
      <c r="K29" s="10">
        <f>SUM(C29:J29)</f>
        <v>0</v>
      </c>
    </row>
    <row r="30" spans="1:11" x14ac:dyDescent="0.6">
      <c r="A30" s="7">
        <f t="shared" ref="A30:A49" si="1">K30</f>
        <v>38</v>
      </c>
      <c r="B30" s="9" t="s">
        <v>2</v>
      </c>
      <c r="C30" s="9">
        <v>12</v>
      </c>
      <c r="D30" s="9"/>
      <c r="E30" s="9">
        <v>13</v>
      </c>
      <c r="F30" s="9"/>
      <c r="G30" s="9"/>
      <c r="H30" s="9"/>
      <c r="I30" s="9">
        <v>5</v>
      </c>
      <c r="J30" s="9">
        <v>8</v>
      </c>
      <c r="K30" s="10">
        <f>SUM(C30:J30)</f>
        <v>38</v>
      </c>
    </row>
    <row r="31" spans="1:11" x14ac:dyDescent="0.6">
      <c r="A31" s="7">
        <f t="shared" si="1"/>
        <v>10</v>
      </c>
      <c r="B31" s="9" t="s">
        <v>107</v>
      </c>
      <c r="C31" s="9"/>
      <c r="D31" s="9">
        <v>10</v>
      </c>
      <c r="E31" s="9"/>
      <c r="F31" s="9"/>
      <c r="G31" s="9"/>
      <c r="H31" s="9"/>
      <c r="I31" s="9"/>
      <c r="J31" s="9"/>
      <c r="K31" s="10">
        <f>SUM(C31:J31)</f>
        <v>10</v>
      </c>
    </row>
    <row r="32" spans="1:11" x14ac:dyDescent="0.6">
      <c r="A32" s="7">
        <f t="shared" si="1"/>
        <v>14</v>
      </c>
      <c r="B32" s="9" t="s">
        <v>19</v>
      </c>
      <c r="C32" s="9">
        <v>7</v>
      </c>
      <c r="D32" s="9"/>
      <c r="E32" s="9">
        <v>7</v>
      </c>
      <c r="F32" s="9"/>
      <c r="G32" s="9"/>
      <c r="H32" s="9"/>
      <c r="I32" s="9"/>
      <c r="J32" s="9"/>
      <c r="K32" s="10">
        <f>SUM(C32:J32)</f>
        <v>14</v>
      </c>
    </row>
    <row r="33" spans="1:11" x14ac:dyDescent="0.6">
      <c r="A33" s="7">
        <f t="shared" si="1"/>
        <v>10</v>
      </c>
      <c r="B33" s="9" t="s">
        <v>0</v>
      </c>
      <c r="C33" s="9">
        <v>4</v>
      </c>
      <c r="D33" s="9"/>
      <c r="E33" s="9">
        <v>5</v>
      </c>
      <c r="F33" s="9">
        <v>1</v>
      </c>
      <c r="G33" s="9"/>
      <c r="H33" s="9"/>
      <c r="I33" s="9"/>
      <c r="J33" s="9"/>
      <c r="K33" s="10">
        <f>SUM(C33:J33)</f>
        <v>10</v>
      </c>
    </row>
    <row r="34" spans="1:11" x14ac:dyDescent="0.6">
      <c r="A34" s="7">
        <f t="shared" si="1"/>
        <v>6</v>
      </c>
      <c r="B34" s="9" t="s">
        <v>52</v>
      </c>
      <c r="C34" s="9"/>
      <c r="D34" s="9"/>
      <c r="E34" s="9">
        <v>5</v>
      </c>
      <c r="F34" s="9"/>
      <c r="G34" s="9">
        <v>1</v>
      </c>
      <c r="H34" s="9"/>
      <c r="I34" s="9"/>
      <c r="J34" s="9"/>
      <c r="K34" s="10">
        <f>SUM(C34:J34)</f>
        <v>6</v>
      </c>
    </row>
    <row r="35" spans="1:11" x14ac:dyDescent="0.6">
      <c r="A35" s="7">
        <f t="shared" si="1"/>
        <v>0</v>
      </c>
      <c r="B35" s="9" t="s">
        <v>147</v>
      </c>
      <c r="C35" s="9"/>
      <c r="D35" s="9"/>
      <c r="E35" s="9">
        <v>0</v>
      </c>
      <c r="F35" s="9"/>
      <c r="G35" s="9"/>
      <c r="H35" s="9"/>
      <c r="I35" s="9"/>
      <c r="J35" s="9"/>
      <c r="K35" s="10">
        <f>SUM(C35:J35)</f>
        <v>0</v>
      </c>
    </row>
    <row r="36" spans="1:11" ht="37.799999999999997" customHeight="1" x14ac:dyDescent="0.6">
      <c r="A36" s="7">
        <f t="shared" si="1"/>
        <v>3</v>
      </c>
      <c r="B36" s="9" t="s">
        <v>1</v>
      </c>
      <c r="C36" s="9">
        <v>1</v>
      </c>
      <c r="D36" s="9"/>
      <c r="E36" s="9">
        <v>2</v>
      </c>
      <c r="F36" s="9"/>
      <c r="G36" s="9"/>
      <c r="H36" s="9"/>
      <c r="I36" s="9"/>
      <c r="J36" s="9"/>
      <c r="K36" s="10">
        <f>SUM(C36:J36)</f>
        <v>3</v>
      </c>
    </row>
    <row r="37" spans="1:11" x14ac:dyDescent="0.6">
      <c r="A37" s="7">
        <f t="shared" si="1"/>
        <v>0</v>
      </c>
      <c r="B37" s="9" t="s">
        <v>20</v>
      </c>
      <c r="C37" s="9"/>
      <c r="D37" s="9"/>
      <c r="E37" s="9"/>
      <c r="F37" s="9"/>
      <c r="G37" s="9"/>
      <c r="H37" s="9"/>
      <c r="I37" s="9"/>
      <c r="J37" s="9"/>
      <c r="K37" s="10">
        <f>SUM(C37:J37)</f>
        <v>0</v>
      </c>
    </row>
    <row r="38" spans="1:11" x14ac:dyDescent="0.6">
      <c r="A38" s="7">
        <f t="shared" si="1"/>
        <v>0</v>
      </c>
      <c r="B38" s="9" t="s">
        <v>22</v>
      </c>
      <c r="C38" s="9"/>
      <c r="D38" s="9"/>
      <c r="E38" s="9"/>
      <c r="F38" s="9"/>
      <c r="G38" s="9"/>
      <c r="H38" s="9"/>
      <c r="I38" s="9"/>
      <c r="J38" s="9"/>
      <c r="K38" s="10">
        <f>SUM(C38:J38)</f>
        <v>0</v>
      </c>
    </row>
    <row r="39" spans="1:11" x14ac:dyDescent="0.6">
      <c r="A39" s="7">
        <f t="shared" si="1"/>
        <v>2</v>
      </c>
      <c r="B39" s="9" t="s">
        <v>14</v>
      </c>
      <c r="C39" s="9">
        <v>1</v>
      </c>
      <c r="D39" s="9"/>
      <c r="E39" s="9">
        <v>1</v>
      </c>
      <c r="F39" s="9"/>
      <c r="G39" s="9"/>
      <c r="H39" s="9"/>
      <c r="I39" s="9"/>
      <c r="J39" s="9"/>
      <c r="K39" s="10">
        <f>SUM(C39:J39)</f>
        <v>2</v>
      </c>
    </row>
    <row r="40" spans="1:11" x14ac:dyDescent="0.6">
      <c r="A40" s="7">
        <f t="shared" si="1"/>
        <v>0</v>
      </c>
      <c r="B40" s="9" t="s">
        <v>38</v>
      </c>
      <c r="C40" s="9"/>
      <c r="D40" s="9"/>
      <c r="E40" s="9"/>
      <c r="F40" s="9"/>
      <c r="G40" s="9"/>
      <c r="H40" s="9"/>
      <c r="I40" s="9"/>
      <c r="J40" s="9"/>
      <c r="K40" s="10">
        <f>SUM(C40:J40)</f>
        <v>0</v>
      </c>
    </row>
    <row r="41" spans="1:11" x14ac:dyDescent="0.6">
      <c r="A41" s="7">
        <f t="shared" si="1"/>
        <v>0</v>
      </c>
      <c r="B41" s="9" t="s">
        <v>153</v>
      </c>
      <c r="C41" s="9"/>
      <c r="D41" s="9"/>
      <c r="E41" s="9"/>
      <c r="F41" s="9"/>
      <c r="G41" s="9"/>
      <c r="H41" s="9"/>
      <c r="I41" s="9"/>
      <c r="J41" s="9"/>
      <c r="K41" s="10">
        <f>SUM(C41:J41)</f>
        <v>0</v>
      </c>
    </row>
    <row r="42" spans="1:11" x14ac:dyDescent="0.6">
      <c r="A42" s="7">
        <f t="shared" si="1"/>
        <v>0</v>
      </c>
      <c r="B42" s="9" t="s">
        <v>13</v>
      </c>
      <c r="C42" s="9"/>
      <c r="D42" s="9"/>
      <c r="E42" s="9"/>
      <c r="F42" s="9"/>
      <c r="G42" s="9"/>
      <c r="H42" s="9"/>
      <c r="I42" s="9"/>
      <c r="J42" s="9"/>
      <c r="K42" s="10">
        <f>SUM(C42:J42)</f>
        <v>0</v>
      </c>
    </row>
    <row r="43" spans="1:11" x14ac:dyDescent="0.6">
      <c r="A43" s="7">
        <f t="shared" si="1"/>
        <v>0</v>
      </c>
      <c r="B43" s="9" t="s">
        <v>30</v>
      </c>
      <c r="C43" s="9"/>
      <c r="D43" s="9"/>
      <c r="E43" s="9"/>
      <c r="F43" s="9"/>
      <c r="G43" s="9"/>
      <c r="H43" s="9"/>
      <c r="I43" s="9"/>
      <c r="J43" s="9"/>
      <c r="K43" s="10">
        <f>SUM(C43:J43)</f>
        <v>0</v>
      </c>
    </row>
    <row r="44" spans="1:11" x14ac:dyDescent="0.6">
      <c r="A44" s="7">
        <f t="shared" si="1"/>
        <v>0</v>
      </c>
      <c r="B44" s="9" t="s">
        <v>64</v>
      </c>
      <c r="C44" s="9"/>
      <c r="D44" s="9"/>
      <c r="E44" s="9"/>
      <c r="F44" s="9"/>
      <c r="G44" s="9"/>
      <c r="H44" s="9"/>
      <c r="I44" s="9"/>
      <c r="J44" s="9"/>
      <c r="K44" s="10">
        <f>SUM(C44:J44)</f>
        <v>0</v>
      </c>
    </row>
    <row r="45" spans="1:11" x14ac:dyDescent="0.6">
      <c r="A45" s="7">
        <f t="shared" si="1"/>
        <v>9</v>
      </c>
      <c r="B45" s="9" t="s">
        <v>71</v>
      </c>
      <c r="C45" s="9"/>
      <c r="D45" s="9">
        <v>5</v>
      </c>
      <c r="E45" s="9"/>
      <c r="F45" s="9">
        <v>4</v>
      </c>
      <c r="G45" s="9"/>
      <c r="H45" s="9"/>
      <c r="I45" s="9"/>
      <c r="J45" s="9"/>
      <c r="K45" s="10">
        <f>SUM(C45:J45)</f>
        <v>9</v>
      </c>
    </row>
    <row r="46" spans="1:11" x14ac:dyDescent="0.6">
      <c r="A46" s="7">
        <f t="shared" si="1"/>
        <v>0</v>
      </c>
      <c r="B46" s="9" t="s">
        <v>141</v>
      </c>
      <c r="C46" s="9"/>
      <c r="D46" s="9"/>
      <c r="E46" s="9"/>
      <c r="F46" s="9"/>
      <c r="G46" s="9"/>
      <c r="H46" s="9"/>
      <c r="I46" s="9"/>
      <c r="J46" s="9"/>
      <c r="K46" s="10">
        <f>SUM(C46:J46)</f>
        <v>0</v>
      </c>
    </row>
    <row r="47" spans="1:11" x14ac:dyDescent="0.6">
      <c r="A47" s="7">
        <f t="shared" si="1"/>
        <v>0</v>
      </c>
      <c r="B47" s="9" t="s">
        <v>72</v>
      </c>
      <c r="C47" s="9"/>
      <c r="D47" s="9"/>
      <c r="E47" s="9"/>
      <c r="F47" s="9"/>
      <c r="G47" s="9"/>
      <c r="H47" s="9"/>
      <c r="I47" s="9"/>
      <c r="J47" s="9"/>
      <c r="K47" s="10">
        <f>SUM(C47:J47)</f>
        <v>0</v>
      </c>
    </row>
    <row r="48" spans="1:11" x14ac:dyDescent="0.6">
      <c r="A48" s="7">
        <f t="shared" si="1"/>
        <v>10</v>
      </c>
      <c r="B48" s="9" t="s">
        <v>73</v>
      </c>
      <c r="C48" s="9"/>
      <c r="D48" s="9"/>
      <c r="E48" s="9"/>
      <c r="F48" s="9">
        <v>10</v>
      </c>
      <c r="G48" s="9"/>
      <c r="H48" s="9"/>
      <c r="I48" s="9"/>
      <c r="J48" s="9"/>
      <c r="K48" s="10">
        <f>SUM(C48:J48)</f>
        <v>10</v>
      </c>
    </row>
    <row r="49" spans="1:11" x14ac:dyDescent="0.6">
      <c r="A49" s="7">
        <f t="shared" si="1"/>
        <v>0</v>
      </c>
      <c r="B49" s="9" t="s">
        <v>112</v>
      </c>
      <c r="C49" s="9"/>
      <c r="D49" s="9"/>
      <c r="E49" s="9"/>
      <c r="F49" s="9"/>
      <c r="G49" s="9"/>
      <c r="H49" s="9"/>
      <c r="I49" s="9"/>
      <c r="J49" s="9"/>
      <c r="K49" s="10">
        <f>SUM(C49:J49)</f>
        <v>0</v>
      </c>
    </row>
    <row r="50" spans="1:11" x14ac:dyDescent="0.6">
      <c r="A50" s="7"/>
      <c r="B50" s="9"/>
      <c r="C50" s="9"/>
      <c r="D50" s="9"/>
      <c r="E50" s="9"/>
      <c r="F50" s="9"/>
      <c r="G50" s="9"/>
      <c r="H50" s="9"/>
      <c r="I50" s="9"/>
      <c r="J50" s="9"/>
      <c r="K50" s="10">
        <f>SUM(C50:J50)</f>
        <v>0</v>
      </c>
    </row>
    <row r="51" spans="1:11" x14ac:dyDescent="0.6">
      <c r="A51" s="7">
        <f t="shared" ref="A51:A61" si="2">K51</f>
        <v>12</v>
      </c>
      <c r="B51" s="9" t="s">
        <v>12</v>
      </c>
      <c r="C51" s="9">
        <v>7</v>
      </c>
      <c r="D51" s="9"/>
      <c r="E51" s="9">
        <v>5</v>
      </c>
      <c r="F51" s="9"/>
      <c r="G51" s="9"/>
      <c r="H51" s="9"/>
      <c r="I51" s="9"/>
      <c r="J51" s="9"/>
      <c r="K51" s="10">
        <f>SUM(C51:J51)</f>
        <v>12</v>
      </c>
    </row>
    <row r="52" spans="1:11" x14ac:dyDescent="0.6">
      <c r="A52" s="7">
        <f t="shared" si="2"/>
        <v>16</v>
      </c>
      <c r="B52" s="9" t="s">
        <v>5</v>
      </c>
      <c r="C52" s="9">
        <v>4</v>
      </c>
      <c r="D52" s="9"/>
      <c r="E52" s="9">
        <v>12</v>
      </c>
      <c r="F52" s="9"/>
      <c r="G52" s="9"/>
      <c r="H52" s="9"/>
      <c r="I52" s="9"/>
      <c r="J52" s="9"/>
      <c r="K52" s="10">
        <f>SUM(C52:J52)</f>
        <v>16</v>
      </c>
    </row>
    <row r="53" spans="1:11" x14ac:dyDescent="0.6">
      <c r="A53" s="7">
        <f t="shared" si="2"/>
        <v>2</v>
      </c>
      <c r="B53" s="9" t="s">
        <v>53</v>
      </c>
      <c r="C53" s="9"/>
      <c r="D53" s="9"/>
      <c r="E53" s="9">
        <v>2</v>
      </c>
      <c r="F53" s="9"/>
      <c r="G53" s="9"/>
      <c r="H53" s="9"/>
      <c r="I53" s="9"/>
      <c r="J53" s="9"/>
      <c r="K53" s="10">
        <f>SUM(C53:J53)</f>
        <v>2</v>
      </c>
    </row>
    <row r="54" spans="1:11" x14ac:dyDescent="0.6">
      <c r="A54" s="7">
        <f t="shared" si="2"/>
        <v>5</v>
      </c>
      <c r="B54" s="9" t="s">
        <v>159</v>
      </c>
      <c r="C54" s="9">
        <v>5</v>
      </c>
      <c r="D54" s="9"/>
      <c r="E54" s="9">
        <v>0</v>
      </c>
      <c r="F54" s="9"/>
      <c r="G54" s="9"/>
      <c r="H54" s="9"/>
      <c r="I54" s="9"/>
      <c r="J54" s="9"/>
      <c r="K54" s="10">
        <f>SUM(C54:J54)</f>
        <v>5</v>
      </c>
    </row>
    <row r="55" spans="1:11" x14ac:dyDescent="0.6">
      <c r="A55" s="7">
        <f t="shared" si="2"/>
        <v>1</v>
      </c>
      <c r="B55" s="9" t="s">
        <v>66</v>
      </c>
      <c r="C55" s="9"/>
      <c r="D55" s="9">
        <v>1</v>
      </c>
      <c r="E55" s="9"/>
      <c r="F55" s="9"/>
      <c r="G55" s="9"/>
      <c r="H55" s="9"/>
      <c r="I55" s="9"/>
      <c r="J55" s="9"/>
      <c r="K55" s="10">
        <f>SUM(C55:J55)</f>
        <v>1</v>
      </c>
    </row>
    <row r="56" spans="1:11" x14ac:dyDescent="0.6">
      <c r="A56" s="7">
        <f t="shared" si="2"/>
        <v>0</v>
      </c>
      <c r="B56" s="9" t="s">
        <v>43</v>
      </c>
      <c r="C56" s="9"/>
      <c r="D56" s="9"/>
      <c r="E56" s="9"/>
      <c r="F56" s="9"/>
      <c r="G56" s="9"/>
      <c r="H56" s="9"/>
      <c r="I56" s="9"/>
      <c r="J56" s="9"/>
      <c r="K56" s="10">
        <f>SUM(C56:J56)</f>
        <v>0</v>
      </c>
    </row>
    <row r="57" spans="1:11" x14ac:dyDescent="0.6">
      <c r="A57" s="7">
        <f t="shared" si="2"/>
        <v>0</v>
      </c>
      <c r="B57" s="9"/>
      <c r="C57" s="9"/>
      <c r="D57" s="9"/>
      <c r="E57" s="9"/>
      <c r="F57" s="9"/>
      <c r="G57" s="9"/>
      <c r="H57" s="9"/>
      <c r="I57" s="9"/>
      <c r="J57" s="9"/>
      <c r="K57" s="10">
        <f>SUM(C57:J57)</f>
        <v>0</v>
      </c>
    </row>
    <row r="58" spans="1:11" x14ac:dyDescent="0.6">
      <c r="A58" s="7">
        <f t="shared" si="2"/>
        <v>0</v>
      </c>
      <c r="B58" s="9" t="s">
        <v>68</v>
      </c>
      <c r="C58" s="9"/>
      <c r="D58" s="9"/>
      <c r="E58" s="9"/>
      <c r="F58" s="9"/>
      <c r="G58" s="9"/>
      <c r="H58" s="9"/>
      <c r="I58" s="9"/>
      <c r="J58" s="9"/>
      <c r="K58" s="10">
        <f>SUM(C58:J58)</f>
        <v>0</v>
      </c>
    </row>
    <row r="59" spans="1:11" x14ac:dyDescent="0.6">
      <c r="A59" s="7">
        <f t="shared" si="2"/>
        <v>0</v>
      </c>
      <c r="B59" s="9"/>
      <c r="C59" s="9"/>
      <c r="D59" s="9"/>
      <c r="E59" s="9"/>
      <c r="F59" s="9"/>
      <c r="G59" s="9"/>
      <c r="H59" s="9"/>
      <c r="I59" s="9"/>
      <c r="J59" s="9"/>
      <c r="K59" s="10">
        <f>SUM(C59:J59)</f>
        <v>0</v>
      </c>
    </row>
    <row r="60" spans="1:11" x14ac:dyDescent="0.6">
      <c r="A60" s="7">
        <f t="shared" si="2"/>
        <v>0</v>
      </c>
      <c r="B60" s="9" t="s">
        <v>69</v>
      </c>
      <c r="C60" s="9"/>
      <c r="D60" s="9"/>
      <c r="E60" s="9"/>
      <c r="F60" s="9"/>
      <c r="G60" s="9"/>
      <c r="H60" s="9"/>
      <c r="I60" s="9"/>
      <c r="J60" s="9"/>
      <c r="K60" s="10">
        <f>SUM(C60:J60)</f>
        <v>0</v>
      </c>
    </row>
    <row r="61" spans="1:11" x14ac:dyDescent="0.6">
      <c r="A61" s="7">
        <f t="shared" si="2"/>
        <v>0</v>
      </c>
      <c r="B61" s="9" t="s">
        <v>70</v>
      </c>
      <c r="C61" s="9"/>
      <c r="D61" s="9"/>
      <c r="E61" s="9"/>
      <c r="F61" s="9"/>
      <c r="G61" s="9"/>
      <c r="H61" s="9"/>
      <c r="I61" s="9"/>
      <c r="J61" s="9"/>
      <c r="K61" s="10">
        <f>SUM(C61:J61)</f>
        <v>0</v>
      </c>
    </row>
    <row r="62" spans="1:11" x14ac:dyDescent="0.6">
      <c r="A62" s="7"/>
      <c r="B62" s="9"/>
      <c r="C62" s="9"/>
      <c r="D62" s="9"/>
      <c r="E62" s="9"/>
      <c r="F62" s="9"/>
      <c r="G62" s="9"/>
      <c r="H62" s="9"/>
      <c r="I62" s="9"/>
      <c r="J62" s="9"/>
      <c r="K62" s="10">
        <f>SUM(C62:J62)</f>
        <v>0</v>
      </c>
    </row>
    <row r="63" spans="1:11" x14ac:dyDescent="0.6">
      <c r="A63" s="7">
        <f t="shared" ref="A63:A73" si="3">K63</f>
        <v>180</v>
      </c>
      <c r="B63" s="9" t="s">
        <v>6</v>
      </c>
      <c r="C63" s="9">
        <v>60</v>
      </c>
      <c r="D63" s="9"/>
      <c r="E63" s="9">
        <v>60</v>
      </c>
      <c r="F63" s="9"/>
      <c r="G63" s="9"/>
      <c r="H63" s="9"/>
      <c r="I63" s="9"/>
      <c r="J63" s="9">
        <v>60</v>
      </c>
      <c r="K63" s="10">
        <f>SUM(C63:J63)</f>
        <v>180</v>
      </c>
    </row>
    <row r="64" spans="1:11" x14ac:dyDescent="0.6">
      <c r="A64" s="7">
        <f t="shared" si="3"/>
        <v>0</v>
      </c>
      <c r="B64" s="9" t="s">
        <v>154</v>
      </c>
      <c r="C64" s="9"/>
      <c r="D64" s="9"/>
      <c r="E64" s="9"/>
      <c r="F64" s="9"/>
      <c r="G64" s="9"/>
      <c r="H64" s="9"/>
      <c r="I64" s="9"/>
      <c r="J64" s="9"/>
      <c r="K64" s="10">
        <f>SUM(C64:J64)</f>
        <v>0</v>
      </c>
    </row>
    <row r="65" spans="1:11" x14ac:dyDescent="0.6">
      <c r="A65" s="7">
        <f t="shared" si="3"/>
        <v>0</v>
      </c>
      <c r="B65" s="9" t="s">
        <v>7</v>
      </c>
      <c r="C65" s="9"/>
      <c r="D65" s="9"/>
      <c r="E65" s="9"/>
      <c r="F65" s="9"/>
      <c r="G65" s="9"/>
      <c r="H65" s="9"/>
      <c r="I65" s="9"/>
      <c r="J65" s="9"/>
      <c r="K65" s="10">
        <f>SUM(C65:J65)</f>
        <v>0</v>
      </c>
    </row>
    <row r="66" spans="1:11" x14ac:dyDescent="0.6">
      <c r="A66" s="7">
        <f t="shared" si="3"/>
        <v>0</v>
      </c>
      <c r="B66" s="9" t="s">
        <v>32</v>
      </c>
      <c r="C66" s="9"/>
      <c r="D66" s="9"/>
      <c r="E66" s="9"/>
      <c r="F66" s="9"/>
      <c r="G66" s="9"/>
      <c r="H66" s="9"/>
      <c r="I66" s="9"/>
      <c r="J66" s="9"/>
      <c r="K66" s="10">
        <f>SUM(C66:J66)</f>
        <v>0</v>
      </c>
    </row>
    <row r="67" spans="1:11" x14ac:dyDescent="0.6">
      <c r="A67" s="7">
        <f t="shared" si="3"/>
        <v>5</v>
      </c>
      <c r="B67" s="9" t="s">
        <v>31</v>
      </c>
      <c r="C67" s="9">
        <v>2</v>
      </c>
      <c r="D67" s="9"/>
      <c r="E67" s="9">
        <v>3</v>
      </c>
      <c r="F67" s="9"/>
      <c r="G67" s="9"/>
      <c r="H67" s="9"/>
      <c r="I67" s="9"/>
      <c r="J67" s="9"/>
      <c r="K67" s="10">
        <f>SUM(C67:J67)</f>
        <v>5</v>
      </c>
    </row>
    <row r="68" spans="1:11" x14ac:dyDescent="0.6">
      <c r="A68" s="7">
        <f t="shared" si="3"/>
        <v>0</v>
      </c>
      <c r="B68" s="9" t="s">
        <v>146</v>
      </c>
      <c r="C68" s="9"/>
      <c r="D68" s="9"/>
      <c r="E68" s="9"/>
      <c r="F68" s="9"/>
      <c r="G68" s="9"/>
      <c r="H68" s="9"/>
      <c r="I68" s="9"/>
      <c r="J68" s="9"/>
      <c r="K68" s="10">
        <f>SUM(C68:J68)</f>
        <v>0</v>
      </c>
    </row>
    <row r="69" spans="1:11" x14ac:dyDescent="0.6">
      <c r="A69" s="7">
        <f t="shared" si="3"/>
        <v>0</v>
      </c>
      <c r="B69" s="9" t="s">
        <v>63</v>
      </c>
      <c r="C69" s="9"/>
      <c r="D69" s="9"/>
      <c r="E69" s="9"/>
      <c r="F69" s="9"/>
      <c r="G69" s="9"/>
      <c r="H69" s="9"/>
      <c r="I69" s="9"/>
      <c r="J69" s="9"/>
      <c r="K69" s="10">
        <f>SUM(C69:J69)</f>
        <v>0</v>
      </c>
    </row>
    <row r="70" spans="1:11" x14ac:dyDescent="0.6">
      <c r="A70" s="7">
        <f t="shared" si="3"/>
        <v>0</v>
      </c>
      <c r="B70" s="9" t="s">
        <v>54</v>
      </c>
      <c r="C70" s="9"/>
      <c r="D70" s="9"/>
      <c r="E70" s="9"/>
      <c r="F70" s="9"/>
      <c r="G70" s="9"/>
      <c r="H70" s="9"/>
      <c r="I70" s="9"/>
      <c r="J70" s="9"/>
      <c r="K70" s="10">
        <f>SUM(C70:J70)</f>
        <v>0</v>
      </c>
    </row>
    <row r="71" spans="1:11" x14ac:dyDescent="0.6">
      <c r="A71" s="7">
        <f t="shared" si="3"/>
        <v>0</v>
      </c>
      <c r="B71" s="9" t="s">
        <v>114</v>
      </c>
      <c r="C71" s="9"/>
      <c r="D71" s="9"/>
      <c r="E71" s="9"/>
      <c r="F71" s="9"/>
      <c r="G71" s="9"/>
      <c r="H71" s="9"/>
      <c r="I71" s="9"/>
      <c r="J71" s="9"/>
      <c r="K71" s="10">
        <f>SUM(C71:J71)</f>
        <v>0</v>
      </c>
    </row>
    <row r="72" spans="1:11" x14ac:dyDescent="0.6">
      <c r="A72" s="7">
        <f t="shared" si="3"/>
        <v>16</v>
      </c>
      <c r="B72" s="9" t="s">
        <v>8</v>
      </c>
      <c r="C72" s="9">
        <v>7</v>
      </c>
      <c r="D72" s="9"/>
      <c r="E72" s="9">
        <v>6</v>
      </c>
      <c r="F72" s="9"/>
      <c r="G72" s="9"/>
      <c r="H72" s="9">
        <v>3</v>
      </c>
      <c r="I72" s="9"/>
      <c r="J72" s="9"/>
      <c r="K72" s="10">
        <f>SUM(C72:J72)</f>
        <v>16</v>
      </c>
    </row>
    <row r="73" spans="1:11" x14ac:dyDescent="0.6">
      <c r="A73" s="7">
        <f t="shared" si="3"/>
        <v>2</v>
      </c>
      <c r="B73" s="9" t="s">
        <v>158</v>
      </c>
      <c r="C73" s="9"/>
      <c r="D73" s="9"/>
      <c r="E73" s="9"/>
      <c r="F73" s="9"/>
      <c r="G73" s="9"/>
      <c r="H73" s="9"/>
      <c r="I73" s="9"/>
      <c r="J73" s="9">
        <v>2</v>
      </c>
      <c r="K73" s="10">
        <f>SUM(C73:J73)</f>
        <v>2</v>
      </c>
    </row>
    <row r="74" spans="1:11" x14ac:dyDescent="0.6">
      <c r="A74" s="7">
        <f t="shared" ref="A74:A109" si="4">K74</f>
        <v>0</v>
      </c>
      <c r="B74" s="9" t="s">
        <v>40</v>
      </c>
      <c r="C74" s="9"/>
      <c r="D74" s="9"/>
      <c r="E74" s="9"/>
      <c r="F74" s="9"/>
      <c r="G74" s="9"/>
      <c r="H74" s="9"/>
      <c r="I74" s="9"/>
      <c r="J74" s="9"/>
      <c r="K74" s="10">
        <f>SUM(C74:J74)</f>
        <v>0</v>
      </c>
    </row>
    <row r="75" spans="1:11" x14ac:dyDescent="0.6">
      <c r="A75" s="7">
        <f t="shared" si="4"/>
        <v>0</v>
      </c>
      <c r="B75" s="9" t="s">
        <v>78</v>
      </c>
      <c r="C75" s="9"/>
      <c r="D75" s="9"/>
      <c r="E75" s="9"/>
      <c r="F75" s="9"/>
      <c r="G75" s="9"/>
      <c r="H75" s="9"/>
      <c r="I75" s="9"/>
      <c r="J75" s="9"/>
      <c r="K75" s="10">
        <f>SUM(C75:J75)</f>
        <v>0</v>
      </c>
    </row>
    <row r="76" spans="1:11" x14ac:dyDescent="0.6">
      <c r="A76" s="7">
        <f t="shared" si="4"/>
        <v>0</v>
      </c>
      <c r="B76" s="9" t="s">
        <v>39</v>
      </c>
      <c r="C76" s="9"/>
      <c r="D76" s="9"/>
      <c r="E76" s="9"/>
      <c r="F76" s="9"/>
      <c r="G76" s="9"/>
      <c r="H76" s="9"/>
      <c r="I76" s="9"/>
      <c r="J76" s="9"/>
      <c r="K76" s="10">
        <f>SUM(C76:J76)</f>
        <v>0</v>
      </c>
    </row>
    <row r="77" spans="1:11" x14ac:dyDescent="0.6">
      <c r="A77" s="7">
        <f t="shared" si="4"/>
        <v>7</v>
      </c>
      <c r="B77" s="9" t="s">
        <v>23</v>
      </c>
      <c r="C77" s="9">
        <v>4</v>
      </c>
      <c r="D77" s="9"/>
      <c r="E77" s="9">
        <v>3</v>
      </c>
      <c r="F77" s="9"/>
      <c r="G77" s="9"/>
      <c r="H77" s="9"/>
      <c r="I77" s="9"/>
      <c r="J77" s="9"/>
      <c r="K77" s="10">
        <f>SUM(C77:J77)</f>
        <v>7</v>
      </c>
    </row>
    <row r="78" spans="1:11" x14ac:dyDescent="0.6">
      <c r="A78" s="7">
        <f t="shared" si="4"/>
        <v>0</v>
      </c>
      <c r="B78" s="9" t="s">
        <v>109</v>
      </c>
      <c r="C78" s="9"/>
      <c r="D78" s="9"/>
      <c r="E78" s="9"/>
      <c r="F78" s="9"/>
      <c r="G78" s="9"/>
      <c r="H78" s="9"/>
      <c r="I78" s="9"/>
      <c r="J78" s="9"/>
      <c r="K78" s="10">
        <f>SUM(C78:J78)</f>
        <v>0</v>
      </c>
    </row>
    <row r="79" spans="1:11" x14ac:dyDescent="0.6">
      <c r="A79" s="7">
        <f t="shared" si="4"/>
        <v>2</v>
      </c>
      <c r="B79" s="9" t="s">
        <v>75</v>
      </c>
      <c r="C79" s="9"/>
      <c r="D79" s="9"/>
      <c r="E79" s="9">
        <v>2</v>
      </c>
      <c r="F79" s="9"/>
      <c r="G79" s="9"/>
      <c r="H79" s="9"/>
      <c r="I79" s="9"/>
      <c r="J79" s="9"/>
      <c r="K79" s="10">
        <f>SUM(C79:J79)</f>
        <v>2</v>
      </c>
    </row>
    <row r="80" spans="1:11" x14ac:dyDescent="0.6">
      <c r="A80" s="7">
        <f t="shared" si="4"/>
        <v>0</v>
      </c>
      <c r="B80" s="9" t="s">
        <v>144</v>
      </c>
      <c r="C80" s="9"/>
      <c r="D80" s="9"/>
      <c r="E80" s="9"/>
      <c r="F80" s="9"/>
      <c r="G80" s="9"/>
      <c r="H80" s="9"/>
      <c r="I80" s="9"/>
      <c r="J80" s="9"/>
      <c r="K80" s="10">
        <f>SUM(C80:J80)</f>
        <v>0</v>
      </c>
    </row>
    <row r="81" spans="1:11" x14ac:dyDescent="0.6">
      <c r="A81" s="7">
        <f t="shared" si="4"/>
        <v>0</v>
      </c>
      <c r="B81" s="9" t="s">
        <v>148</v>
      </c>
      <c r="C81" s="9"/>
      <c r="D81" s="9"/>
      <c r="E81" s="9"/>
      <c r="F81" s="9"/>
      <c r="G81" s="9"/>
      <c r="H81" s="9"/>
      <c r="I81" s="9"/>
      <c r="J81" s="9"/>
      <c r="K81" s="10">
        <f>SUM(C81:J81)</f>
        <v>0</v>
      </c>
    </row>
    <row r="82" spans="1:11" x14ac:dyDescent="0.6">
      <c r="A82" s="7">
        <f t="shared" si="4"/>
        <v>6</v>
      </c>
      <c r="B82" s="9" t="s">
        <v>24</v>
      </c>
      <c r="C82" s="9">
        <v>4</v>
      </c>
      <c r="D82" s="9"/>
      <c r="E82" s="9">
        <v>2</v>
      </c>
      <c r="F82" s="9"/>
      <c r="G82" s="9"/>
      <c r="H82" s="9"/>
      <c r="I82" s="9"/>
      <c r="J82" s="9"/>
      <c r="K82" s="10">
        <f>SUM(C82:J82)</f>
        <v>6</v>
      </c>
    </row>
    <row r="83" spans="1:11" ht="36.6" customHeight="1" x14ac:dyDescent="0.6">
      <c r="A83" s="7">
        <f t="shared" si="4"/>
        <v>0</v>
      </c>
      <c r="B83" s="9" t="s">
        <v>27</v>
      </c>
      <c r="C83" s="9"/>
      <c r="D83" s="9"/>
      <c r="E83" s="9"/>
      <c r="F83" s="9"/>
      <c r="G83" s="9"/>
      <c r="H83" s="9"/>
      <c r="I83" s="9"/>
      <c r="J83" s="9"/>
      <c r="K83" s="10">
        <f>SUM(C83:J83)</f>
        <v>0</v>
      </c>
    </row>
    <row r="84" spans="1:11" x14ac:dyDescent="0.6">
      <c r="A84" s="7">
        <f t="shared" si="4"/>
        <v>0</v>
      </c>
      <c r="B84" s="9" t="s">
        <v>80</v>
      </c>
      <c r="C84" s="9"/>
      <c r="D84" s="9"/>
      <c r="E84" s="9"/>
      <c r="F84" s="9"/>
      <c r="G84" s="9"/>
      <c r="H84" s="9"/>
      <c r="I84" s="9"/>
      <c r="J84" s="9"/>
      <c r="K84" s="10">
        <f>SUM(C84:J84)</f>
        <v>0</v>
      </c>
    </row>
    <row r="85" spans="1:11" x14ac:dyDescent="0.6">
      <c r="A85" s="7">
        <f t="shared" si="4"/>
        <v>0</v>
      </c>
      <c r="B85" s="9" t="s">
        <v>27</v>
      </c>
      <c r="C85" s="9"/>
      <c r="D85" s="9"/>
      <c r="E85" s="9"/>
      <c r="F85" s="9"/>
      <c r="G85" s="9"/>
      <c r="H85" s="9"/>
      <c r="I85" s="9"/>
      <c r="J85" s="9"/>
      <c r="K85" s="10">
        <f>SUM(C85:J85)</f>
        <v>0</v>
      </c>
    </row>
    <row r="86" spans="1:11" x14ac:dyDescent="0.6">
      <c r="A86" s="7">
        <f t="shared" si="4"/>
        <v>7</v>
      </c>
      <c r="B86" s="9" t="s">
        <v>28</v>
      </c>
      <c r="C86" s="9">
        <v>3</v>
      </c>
      <c r="D86" s="9"/>
      <c r="E86" s="9">
        <v>4</v>
      </c>
      <c r="F86" s="9"/>
      <c r="G86" s="9"/>
      <c r="H86" s="9"/>
      <c r="I86" s="9"/>
      <c r="J86" s="9"/>
      <c r="K86" s="10">
        <f>SUM(C86:J86)</f>
        <v>7</v>
      </c>
    </row>
    <row r="87" spans="1:11" x14ac:dyDescent="0.6">
      <c r="A87" s="7">
        <f t="shared" si="4"/>
        <v>0</v>
      </c>
      <c r="B87" s="9" t="s">
        <v>50</v>
      </c>
      <c r="C87" s="9"/>
      <c r="D87" s="9"/>
      <c r="E87" s="9"/>
      <c r="F87" s="9"/>
      <c r="G87" s="9"/>
      <c r="H87" s="9"/>
      <c r="I87" s="9"/>
      <c r="J87" s="9"/>
      <c r="K87" s="10">
        <f>SUM(C87:J87)</f>
        <v>0</v>
      </c>
    </row>
    <row r="88" spans="1:11" x14ac:dyDescent="0.6">
      <c r="A88" s="7">
        <f t="shared" si="4"/>
        <v>0</v>
      </c>
      <c r="B88" s="9" t="s">
        <v>81</v>
      </c>
      <c r="C88" s="9"/>
      <c r="D88" s="9"/>
      <c r="E88" s="9"/>
      <c r="F88" s="9"/>
      <c r="G88" s="9"/>
      <c r="H88" s="9"/>
      <c r="I88" s="9"/>
      <c r="J88" s="9"/>
      <c r="K88" s="10">
        <f>SUM(C88:J88)</f>
        <v>0</v>
      </c>
    </row>
    <row r="89" spans="1:11" x14ac:dyDescent="0.6">
      <c r="A89" s="7">
        <f t="shared" si="4"/>
        <v>20</v>
      </c>
      <c r="B89" s="9" t="s">
        <v>56</v>
      </c>
      <c r="C89" s="9">
        <v>20</v>
      </c>
      <c r="D89" s="9"/>
      <c r="E89" s="9"/>
      <c r="F89" s="9"/>
      <c r="G89" s="9"/>
      <c r="H89" s="9"/>
      <c r="I89" s="9"/>
      <c r="J89" s="9"/>
      <c r="K89" s="10">
        <f>SUM(C89:J89)</f>
        <v>20</v>
      </c>
    </row>
    <row r="90" spans="1:11" x14ac:dyDescent="0.6">
      <c r="A90" s="7">
        <f t="shared" si="4"/>
        <v>20</v>
      </c>
      <c r="B90" s="9" t="s">
        <v>57</v>
      </c>
      <c r="C90" s="9">
        <v>20</v>
      </c>
      <c r="D90" s="9"/>
      <c r="E90" s="9"/>
      <c r="F90" s="9"/>
      <c r="G90" s="9"/>
      <c r="H90" s="9"/>
      <c r="I90" s="9"/>
      <c r="J90" s="9"/>
      <c r="K90" s="10">
        <f>SUM(C90:J90)</f>
        <v>20</v>
      </c>
    </row>
    <row r="91" spans="1:11" x14ac:dyDescent="0.6">
      <c r="A91" s="7">
        <f t="shared" si="4"/>
        <v>20</v>
      </c>
      <c r="B91" s="9" t="s">
        <v>58</v>
      </c>
      <c r="C91" s="9">
        <v>20</v>
      </c>
      <c r="D91" s="9"/>
      <c r="E91" s="9"/>
      <c r="F91" s="9"/>
      <c r="G91" s="9"/>
      <c r="H91" s="9"/>
      <c r="I91" s="9"/>
      <c r="J91" s="9"/>
      <c r="K91" s="10">
        <f>SUM(C91:J91)</f>
        <v>20</v>
      </c>
    </row>
    <row r="92" spans="1:11" x14ac:dyDescent="0.6">
      <c r="A92" s="7">
        <f t="shared" si="4"/>
        <v>20</v>
      </c>
      <c r="B92" s="9" t="s">
        <v>156</v>
      </c>
      <c r="C92" s="9">
        <v>20</v>
      </c>
      <c r="D92" s="9"/>
      <c r="E92" s="9"/>
      <c r="F92" s="9"/>
      <c r="G92" s="9"/>
      <c r="H92" s="9"/>
      <c r="I92" s="9"/>
      <c r="J92" s="9"/>
      <c r="K92" s="10">
        <f>SUM(C92:J92)</f>
        <v>20</v>
      </c>
    </row>
    <row r="93" spans="1:11" x14ac:dyDescent="0.6">
      <c r="A93" s="7">
        <f t="shared" si="4"/>
        <v>20</v>
      </c>
      <c r="B93" s="9" t="s">
        <v>59</v>
      </c>
      <c r="C93" s="9">
        <v>20</v>
      </c>
      <c r="D93" s="9"/>
      <c r="E93" s="9"/>
      <c r="F93" s="9"/>
      <c r="G93" s="9"/>
      <c r="H93" s="9"/>
      <c r="I93" s="9"/>
      <c r="J93" s="9"/>
      <c r="K93" s="10">
        <f>SUM(C93:J93)</f>
        <v>20</v>
      </c>
    </row>
    <row r="94" spans="1:11" x14ac:dyDescent="0.6">
      <c r="A94" s="7">
        <f t="shared" si="4"/>
        <v>20</v>
      </c>
      <c r="B94" s="9" t="s">
        <v>149</v>
      </c>
      <c r="C94" s="9">
        <v>20</v>
      </c>
      <c r="D94" s="9"/>
      <c r="E94" s="9"/>
      <c r="F94" s="9"/>
      <c r="G94" s="9"/>
      <c r="H94" s="9"/>
      <c r="I94" s="9"/>
      <c r="J94" s="9"/>
      <c r="K94" s="10">
        <f>SUM(C94:J94)</f>
        <v>20</v>
      </c>
    </row>
    <row r="95" spans="1:11" x14ac:dyDescent="0.6">
      <c r="A95" s="7">
        <f t="shared" si="4"/>
        <v>0</v>
      </c>
      <c r="B95" s="9" t="s">
        <v>111</v>
      </c>
      <c r="C95" s="9"/>
      <c r="D95" s="9"/>
      <c r="E95" s="9"/>
      <c r="F95" s="9"/>
      <c r="G95" s="9"/>
      <c r="H95" s="9"/>
      <c r="I95" s="9"/>
      <c r="J95" s="9"/>
      <c r="K95" s="10">
        <f>SUM(C95:J95)</f>
        <v>0</v>
      </c>
    </row>
    <row r="96" spans="1:11" x14ac:dyDescent="0.6">
      <c r="A96" s="7">
        <f t="shared" si="4"/>
        <v>0</v>
      </c>
      <c r="B96" s="9" t="s">
        <v>65</v>
      </c>
      <c r="C96" s="9"/>
      <c r="D96" s="9"/>
      <c r="E96" s="9"/>
      <c r="F96" s="9"/>
      <c r="G96" s="9"/>
      <c r="H96" s="9"/>
      <c r="I96" s="9"/>
      <c r="J96" s="9"/>
      <c r="K96" s="10">
        <f>SUM(C96:J96)</f>
        <v>0</v>
      </c>
    </row>
    <row r="97" spans="1:12" x14ac:dyDescent="0.6">
      <c r="A97" s="7">
        <f t="shared" si="4"/>
        <v>8</v>
      </c>
      <c r="B97" s="9" t="s">
        <v>9</v>
      </c>
      <c r="C97" s="9"/>
      <c r="D97" s="9"/>
      <c r="E97" s="9">
        <v>8</v>
      </c>
      <c r="F97" s="9"/>
      <c r="G97" s="9"/>
      <c r="H97" s="9"/>
      <c r="I97" s="9"/>
      <c r="J97" s="9"/>
      <c r="K97" s="10">
        <f>SUM(C97:J97)</f>
        <v>8</v>
      </c>
    </row>
    <row r="98" spans="1:12" ht="33" customHeight="1" x14ac:dyDescent="0.6">
      <c r="A98" s="7">
        <f t="shared" si="4"/>
        <v>20</v>
      </c>
      <c r="B98" s="9" t="s">
        <v>83</v>
      </c>
      <c r="C98" s="9">
        <v>15</v>
      </c>
      <c r="D98" s="9"/>
      <c r="E98" s="9">
        <v>5</v>
      </c>
      <c r="F98" s="9"/>
      <c r="G98" s="9"/>
      <c r="H98" s="9"/>
      <c r="I98" s="9"/>
      <c r="J98" s="9"/>
      <c r="K98" s="10">
        <f>SUM(C98:J98)</f>
        <v>20</v>
      </c>
    </row>
    <row r="99" spans="1:12" ht="33" customHeight="1" x14ac:dyDescent="0.6">
      <c r="A99" s="7">
        <f t="shared" si="4"/>
        <v>25</v>
      </c>
      <c r="B99" s="9" t="s">
        <v>86</v>
      </c>
      <c r="C99" s="9">
        <v>15</v>
      </c>
      <c r="D99" s="9"/>
      <c r="E99" s="9">
        <v>10</v>
      </c>
      <c r="F99" s="9"/>
      <c r="G99" s="9"/>
      <c r="H99" s="9"/>
      <c r="I99" s="9"/>
      <c r="J99" s="9"/>
      <c r="K99" s="10">
        <f>SUM(C99:J99)</f>
        <v>25</v>
      </c>
    </row>
    <row r="100" spans="1:12" ht="91.8" customHeight="1" x14ac:dyDescent="0.6">
      <c r="A100" s="7">
        <f t="shared" si="4"/>
        <v>0</v>
      </c>
      <c r="B100" s="9" t="s">
        <v>88</v>
      </c>
      <c r="C100" s="9"/>
      <c r="D100" s="9"/>
      <c r="E100" s="9"/>
      <c r="F100" s="9"/>
      <c r="G100" s="9"/>
      <c r="H100" s="9"/>
      <c r="I100" s="9"/>
      <c r="J100" s="9"/>
      <c r="K100" s="10">
        <f>SUM(C100:J100)</f>
        <v>0</v>
      </c>
    </row>
    <row r="101" spans="1:12" ht="33" customHeight="1" x14ac:dyDescent="0.6">
      <c r="A101" s="7">
        <f t="shared" si="4"/>
        <v>0</v>
      </c>
      <c r="B101" s="9" t="s">
        <v>150</v>
      </c>
      <c r="C101" s="9"/>
      <c r="D101" s="9"/>
      <c r="E101" s="9"/>
      <c r="F101" s="9"/>
      <c r="G101" s="9"/>
      <c r="H101" s="9"/>
      <c r="I101" s="9"/>
      <c r="J101" s="9"/>
      <c r="K101" s="10">
        <f>SUM(C101:J101)</f>
        <v>0</v>
      </c>
    </row>
    <row r="102" spans="1:12" x14ac:dyDescent="0.6">
      <c r="A102" s="7">
        <f t="shared" si="4"/>
        <v>0</v>
      </c>
      <c r="B102" s="9" t="s">
        <v>145</v>
      </c>
      <c r="C102" s="9"/>
      <c r="D102" s="9"/>
      <c r="E102" s="9"/>
      <c r="F102" s="9"/>
      <c r="G102" s="9"/>
      <c r="H102" s="9"/>
      <c r="I102" s="9"/>
      <c r="J102" s="9"/>
      <c r="K102" s="10">
        <f>SUM(C102:J102)</f>
        <v>0</v>
      </c>
    </row>
    <row r="103" spans="1:12" x14ac:dyDescent="0.6">
      <c r="A103" s="7">
        <f t="shared" si="4"/>
        <v>13</v>
      </c>
      <c r="B103" s="9" t="s">
        <v>49</v>
      </c>
      <c r="C103" s="9">
        <v>7</v>
      </c>
      <c r="D103" s="9"/>
      <c r="E103" s="9">
        <v>6</v>
      </c>
      <c r="F103" s="9"/>
      <c r="G103" s="9"/>
      <c r="H103" s="9"/>
      <c r="I103" s="9"/>
      <c r="J103" s="9"/>
      <c r="K103" s="10">
        <f>SUM(C103:J103)</f>
        <v>13</v>
      </c>
    </row>
    <row r="104" spans="1:12" x14ac:dyDescent="0.6">
      <c r="A104" s="7">
        <f t="shared" si="4"/>
        <v>2</v>
      </c>
      <c r="B104" s="9" t="s">
        <v>67</v>
      </c>
      <c r="C104" s="9">
        <v>1</v>
      </c>
      <c r="D104" s="9"/>
      <c r="E104" s="9">
        <v>1</v>
      </c>
      <c r="F104" s="9"/>
      <c r="G104" s="9"/>
      <c r="H104" s="9"/>
      <c r="I104" s="9"/>
      <c r="J104" s="9"/>
      <c r="K104" s="10">
        <f>SUM(C104:J104)</f>
        <v>2</v>
      </c>
    </row>
    <row r="105" spans="1:12" x14ac:dyDescent="0.6">
      <c r="A105" s="7">
        <f t="shared" si="4"/>
        <v>6</v>
      </c>
      <c r="B105" s="9" t="s">
        <v>16</v>
      </c>
      <c r="C105" s="9">
        <v>6</v>
      </c>
      <c r="D105" s="9"/>
      <c r="E105" s="9"/>
      <c r="F105" s="9"/>
      <c r="G105" s="9"/>
      <c r="H105" s="9"/>
      <c r="I105" s="9"/>
      <c r="J105" s="9"/>
      <c r="K105" s="10">
        <f>SUM(C105:J105)</f>
        <v>6</v>
      </c>
    </row>
    <row r="106" spans="1:12" x14ac:dyDescent="0.6">
      <c r="A106" s="7">
        <f t="shared" si="4"/>
        <v>0</v>
      </c>
      <c r="B106" s="9" t="s">
        <v>51</v>
      </c>
      <c r="C106" s="9"/>
      <c r="D106" s="9"/>
      <c r="E106" s="9"/>
      <c r="F106" s="9"/>
      <c r="G106" s="9"/>
      <c r="H106" s="9"/>
      <c r="I106" s="9"/>
      <c r="J106" s="9"/>
      <c r="K106" s="10">
        <f>SUM(C106:J106)</f>
        <v>0</v>
      </c>
    </row>
    <row r="107" spans="1:12" ht="36" customHeight="1" x14ac:dyDescent="0.6">
      <c r="A107" s="7">
        <f t="shared" si="4"/>
        <v>0</v>
      </c>
      <c r="B107" s="9" t="s">
        <v>10</v>
      </c>
      <c r="C107" s="9"/>
      <c r="D107" s="9"/>
      <c r="E107" s="9"/>
      <c r="F107" s="9"/>
      <c r="G107" s="9"/>
      <c r="H107" s="9"/>
      <c r="I107" s="9"/>
      <c r="J107" s="9"/>
      <c r="K107" s="10">
        <f>SUM(C107:J107)</f>
        <v>0</v>
      </c>
    </row>
    <row r="108" spans="1:12" x14ac:dyDescent="0.6">
      <c r="A108" s="7">
        <f t="shared" si="4"/>
        <v>0</v>
      </c>
      <c r="B108" s="9" t="s">
        <v>17</v>
      </c>
      <c r="C108" s="9"/>
      <c r="D108" s="9"/>
      <c r="E108" s="9"/>
      <c r="F108" s="9"/>
      <c r="G108" s="9"/>
      <c r="H108" s="9"/>
      <c r="I108" s="9"/>
      <c r="J108" s="9"/>
      <c r="K108" s="10">
        <f>SUM(C108:J108)</f>
        <v>0</v>
      </c>
    </row>
    <row r="109" spans="1:12" x14ac:dyDescent="0.6">
      <c r="A109" s="7">
        <f t="shared" si="4"/>
        <v>0</v>
      </c>
      <c r="B109" s="11" t="s">
        <v>55</v>
      </c>
      <c r="C109" s="9"/>
      <c r="D109" s="9"/>
      <c r="E109" s="9"/>
      <c r="F109" s="9"/>
      <c r="G109" s="9"/>
      <c r="H109" s="9"/>
      <c r="I109" s="9"/>
      <c r="J109" s="9"/>
      <c r="K109" s="10">
        <f>SUM(C109:J109)</f>
        <v>0</v>
      </c>
    </row>
    <row r="110" spans="1:12" x14ac:dyDescent="0.6">
      <c r="A110" s="16"/>
      <c r="B110" s="17"/>
      <c r="C110" s="17"/>
      <c r="D110" s="17"/>
      <c r="E110" s="17"/>
      <c r="F110" s="17"/>
      <c r="G110" s="17"/>
      <c r="H110" s="17"/>
      <c r="I110" s="17"/>
      <c r="J110" s="17"/>
      <c r="K110" s="10">
        <f>SUM(C110:J110)</f>
        <v>0</v>
      </c>
      <c r="L110" s="1"/>
    </row>
    <row r="111" spans="1:12" ht="33" customHeight="1" x14ac:dyDescent="0.6">
      <c r="A111" s="13"/>
    </row>
    <row r="112" spans="1:12" ht="75" customHeight="1" x14ac:dyDescent="0.6">
      <c r="A112" s="13"/>
      <c r="B112" s="15" t="s">
        <v>15</v>
      </c>
      <c r="C112" s="40" t="s">
        <v>135</v>
      </c>
      <c r="D112" s="40"/>
      <c r="E112" s="40"/>
      <c r="F112" s="40"/>
      <c r="G112" s="40"/>
      <c r="H112" s="40"/>
      <c r="I112" s="40"/>
      <c r="J112" s="40"/>
      <c r="K112" s="39" t="s">
        <v>136</v>
      </c>
    </row>
    <row r="113" spans="2:11" ht="87" customHeight="1" x14ac:dyDescent="0.6">
      <c r="B113" s="15" t="s">
        <v>160</v>
      </c>
      <c r="C113" s="40" t="s">
        <v>161</v>
      </c>
      <c r="D113" s="40"/>
      <c r="E113" s="40"/>
      <c r="F113" s="40"/>
      <c r="G113" s="40"/>
      <c r="H113" s="40"/>
      <c r="I113" s="40"/>
      <c r="J113" s="40"/>
      <c r="K113" s="18" t="s">
        <v>162</v>
      </c>
    </row>
    <row r="114" spans="2:11" ht="88.2" customHeight="1" x14ac:dyDescent="0.6">
      <c r="B114" s="15" t="s">
        <v>163</v>
      </c>
      <c r="C114" s="40" t="s">
        <v>164</v>
      </c>
      <c r="D114" s="40"/>
      <c r="E114" s="40"/>
      <c r="F114" s="40"/>
      <c r="G114" s="40"/>
      <c r="H114" s="40"/>
      <c r="I114" s="40"/>
      <c r="J114" s="40"/>
      <c r="K114" s="18" t="s">
        <v>165</v>
      </c>
    </row>
    <row r="115" spans="2:11" x14ac:dyDescent="0.6">
      <c r="B115" s="15"/>
      <c r="C115" s="40"/>
      <c r="D115" s="40"/>
      <c r="E115" s="40"/>
      <c r="F115" s="40"/>
      <c r="G115" s="40"/>
      <c r="H115" s="40"/>
      <c r="I115" s="40"/>
      <c r="J115" s="40"/>
      <c r="K115" s="18"/>
    </row>
    <row r="116" spans="2:11" ht="90" customHeight="1" x14ac:dyDescent="0.6">
      <c r="B116" s="15"/>
      <c r="C116" s="40"/>
      <c r="D116" s="40"/>
      <c r="E116" s="40"/>
      <c r="F116" s="40"/>
      <c r="G116" s="40"/>
      <c r="H116" s="40"/>
      <c r="I116" s="40"/>
      <c r="J116" s="40"/>
      <c r="K116" s="18"/>
    </row>
  </sheetData>
  <mergeCells count="6">
    <mergeCell ref="C115:J115"/>
    <mergeCell ref="C116:J116"/>
    <mergeCell ref="C113:J113"/>
    <mergeCell ref="C114:J114"/>
    <mergeCell ref="A2:B2"/>
    <mergeCell ref="C112:J112"/>
  </mergeCells>
  <phoneticPr fontId="9" type="noConversion"/>
  <pageMargins left="0.7" right="0.7" top="0.75" bottom="0.75" header="0.3" footer="0.3"/>
  <pageSetup paperSize="9" scale="1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86E39-FD0E-4CB5-8520-21C4912026C2}">
  <dimension ref="C2:E15"/>
  <sheetViews>
    <sheetView workbookViewId="0">
      <selection activeCell="B2" sqref="B2:F18"/>
    </sheetView>
  </sheetViews>
  <sheetFormatPr defaultRowHeight="14.4" x14ac:dyDescent="0.3"/>
  <cols>
    <col min="3" max="3" width="15.44140625" customWidth="1"/>
    <col min="4" max="4" width="13.33203125" bestFit="1" customWidth="1"/>
    <col min="5" max="5" width="21.6640625" customWidth="1"/>
  </cols>
  <sheetData>
    <row r="2" spans="3:5" ht="15" thickBot="1" x14ac:dyDescent="0.35"/>
    <row r="3" spans="3:5" ht="24" thickBot="1" x14ac:dyDescent="0.5">
      <c r="C3" s="51" t="s">
        <v>92</v>
      </c>
      <c r="D3" s="52"/>
      <c r="E3" s="53"/>
    </row>
    <row r="4" spans="3:5" ht="15.6" x14ac:dyDescent="0.3">
      <c r="C4" s="26" t="s">
        <v>91</v>
      </c>
      <c r="D4" s="27">
        <v>522913326</v>
      </c>
      <c r="E4" s="28" t="s">
        <v>96</v>
      </c>
    </row>
    <row r="5" spans="3:5" ht="15.6" x14ac:dyDescent="0.3">
      <c r="C5" s="21" t="s">
        <v>93</v>
      </c>
      <c r="D5" s="20">
        <v>37132367733</v>
      </c>
      <c r="E5" s="22" t="s">
        <v>97</v>
      </c>
    </row>
    <row r="6" spans="3:5" ht="15.6" x14ac:dyDescent="0.3">
      <c r="C6" s="21" t="s">
        <v>94</v>
      </c>
      <c r="D6" s="20">
        <v>37245718897</v>
      </c>
      <c r="E6" s="22" t="s">
        <v>98</v>
      </c>
    </row>
    <row r="7" spans="3:5" ht="16.2" thickBot="1" x14ac:dyDescent="0.35">
      <c r="C7" s="23" t="s">
        <v>95</v>
      </c>
      <c r="D7" s="24">
        <v>37160044873</v>
      </c>
      <c r="E7" s="25" t="s">
        <v>99</v>
      </c>
    </row>
    <row r="10" spans="3:5" ht="15" thickBot="1" x14ac:dyDescent="0.35"/>
    <row r="11" spans="3:5" ht="21" x14ac:dyDescent="0.4">
      <c r="C11" s="49" t="s">
        <v>100</v>
      </c>
      <c r="D11" s="50"/>
    </row>
    <row r="12" spans="3:5" x14ac:dyDescent="0.3">
      <c r="C12" s="29" t="s">
        <v>95</v>
      </c>
      <c r="D12" s="22" t="s">
        <v>104</v>
      </c>
    </row>
    <row r="13" spans="3:5" x14ac:dyDescent="0.3">
      <c r="C13" s="29" t="s">
        <v>34</v>
      </c>
      <c r="D13" s="22" t="s">
        <v>105</v>
      </c>
    </row>
    <row r="14" spans="3:5" x14ac:dyDescent="0.3">
      <c r="C14" s="29" t="s">
        <v>101</v>
      </c>
      <c r="D14" s="22" t="s">
        <v>106</v>
      </c>
    </row>
    <row r="15" spans="3:5" ht="15" thickBot="1" x14ac:dyDescent="0.35">
      <c r="C15" s="30" t="s">
        <v>102</v>
      </c>
      <c r="D15" s="25" t="s">
        <v>103</v>
      </c>
    </row>
  </sheetData>
  <mergeCells count="2">
    <mergeCell ref="C11:D11"/>
    <mergeCell ref="C3:E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Banville</dc:creator>
  <cp:lastModifiedBy>French Bakery</cp:lastModifiedBy>
  <cp:lastPrinted>2026-07-21T14:04:31Z</cp:lastPrinted>
  <dcterms:created xsi:type="dcterms:W3CDTF">2023-12-12T11:36:05Z</dcterms:created>
  <dcterms:modified xsi:type="dcterms:W3CDTF">2026-07-23T14:11:53Z</dcterms:modified>
</cp:coreProperties>
</file>